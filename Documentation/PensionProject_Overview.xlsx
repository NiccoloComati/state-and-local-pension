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tprod.sharepoint.com/sites/MITGCFP/Shared Documents/Research and Education/Projects/State and Local Pension/"/>
    </mc:Choice>
  </mc:AlternateContent>
  <xr:revisionPtr revIDLastSave="726" documentId="13_ncr:1_{4BB57703-A7E8-427B-BCDF-AD969D61035D}" xr6:coauthVersionLast="47" xr6:coauthVersionMax="47" xr10:uidLastSave="{9386278C-8A1F-4CD4-8139-5B217F0E23DD}"/>
  <bookViews>
    <workbookView xWindow="19090" yWindow="-110" windowWidth="19420" windowHeight="11760" firstSheet="3" activeTab="1" xr2:uid="{00000000-000D-0000-FFFF-FFFF00000000}"/>
  </bookViews>
  <sheets>
    <sheet name="Table of Contents" sheetId="2" r:id="rId1"/>
    <sheet name="Plan Overviews" sheetId="1" r:id="rId2"/>
    <sheet name="Plan Overview -- All Cities" sheetId="5" r:id="rId3"/>
    <sheet name="Plan Overviews (Archive)" sheetId="3" r:id="rId4"/>
  </sheets>
  <definedNames>
    <definedName name="_xlnm._FilterDatabase" localSheetId="1" hidden="1">'Plan Overviews'!$A$1:$AJ$37</definedName>
    <definedName name="_xlnm._FilterDatabase" localSheetId="2" hidden="1">'Plan Overview -- All Cities'!$A$1:$AN$72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3" l="1"/>
  <c r="O3" i="3"/>
  <c r="O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Gant</author>
  </authors>
  <commentList>
    <comment ref="B1" authorId="0" shapeId="0" xr:uid="{4F369DA4-49ED-4C31-99CF-8C2FDC68FD65}">
      <text>
        <r>
          <rPr>
            <b/>
            <sz val="9"/>
            <color indexed="81"/>
            <rFont val="Tahoma"/>
            <charset val="1"/>
          </rPr>
          <t>Alex Gant:</t>
        </r>
        <r>
          <rPr>
            <sz val="9"/>
            <color indexed="81"/>
            <rFont val="Tahoma"/>
            <charset val="1"/>
          </rPr>
          <t xml:space="preserve">
how the city is identified in our dataset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Lorena Hernandez Barcena</author>
    <author>Alex Gant</author>
    <author>tc={34F5D70F-DD8A-4983-A321-5D337AC7E0D5}</author>
    <author>tc={29CC113B-CD68-46C9-A1B3-F5782D74967E}</author>
    <author>tc={52C2F054-B547-4EC5-972A-D72805184807}</author>
    <author>tc={58A81E6E-24B4-41E7-8CC6-8231DBD6D32A}</author>
    <author>tc={BDE0A443-C80E-4628-8D62-C7B31B2CD73E}</author>
    <author>tc={EA691F19-A71F-40E9-A731-0509FC8B86A5}</author>
    <author>tc={94575953-95B1-4527-83D3-D42650DF9F42}</author>
    <author>tc={5ADEE005-3130-476E-93F7-9699064E16CA}</author>
    <author>tc={34F5D70F-DD8A-4984-A321-5D337AC7E0D5}</author>
    <author>tc={29CC113B-CD68-46CA-A1B3-F5782D74967E}</author>
  </authors>
  <commentList>
    <comment ref="G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NOTE: we updated the assets to 2020 as described in the Word Doc.</t>
        </r>
      </text>
    </comment>
    <comment ref="I1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Lorena Hernandez Barcena:</t>
        </r>
        <r>
          <rPr>
            <sz val="9"/>
            <color indexed="81"/>
            <rFont val="Tahoma"/>
            <charset val="1"/>
          </rPr>
          <t xml:space="preserve">
Discount rate that the plan reports using in their actuarial estimates</t>
        </r>
      </text>
    </comment>
    <comment ref="J1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 xml:space="preserve">Lorena Hernandez Barcena:
</t>
        </r>
        <r>
          <rPr>
            <sz val="9"/>
            <color indexed="81"/>
            <rFont val="Tahoma"/>
            <family val="2"/>
          </rPr>
          <t>Plan's wage inflation assumption (inflation + productivity growth)</t>
        </r>
      </text>
    </comment>
    <comment ref="K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in 1000's</t>
        </r>
      </text>
    </comment>
    <comment ref="L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Number currently working</t>
        </r>
      </text>
    </comment>
    <comment ref="M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Withdrawn but not retired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From PPD: Required contribution according to their actuarial estimates</t>
        </r>
      </text>
    </comment>
    <comment ref="S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Average retirement age</t>
        </r>
      </text>
    </comment>
    <comment ref="T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Percent married (used for survivor's benefits)</t>
        </r>
      </text>
    </comment>
    <comment ref="U1" authorId="1" shapeId="0" xr:uid="{C98C69B9-C578-40CB-94A2-F39857E8CA15}">
      <text>
        <r>
          <rPr>
            <b/>
            <sz val="9"/>
            <color indexed="81"/>
            <rFont val="Tahoma"/>
            <charset val="1"/>
          </rPr>
          <t>Alex Gant:</t>
        </r>
        <r>
          <rPr>
            <sz val="9"/>
            <color indexed="81"/>
            <rFont val="Tahoma"/>
            <charset val="1"/>
          </rPr>
          <t xml:space="preserve">
Discount Factor for annuity</t>
        </r>
      </text>
    </comment>
    <comment ref="V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Fraction of benefits owed to survivor</t>
        </r>
      </text>
    </comment>
    <comment ref="W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Penalty per year of early retirement</t>
        </r>
      </text>
    </comment>
    <comment ref="X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Actuarial population growth assumption</t>
        </r>
      </text>
    </comment>
    <comment ref="Y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Population growth 30 year olds
</t>
        </r>
      </text>
    </comment>
    <comment ref="Z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Actuarial growth 40 year olds
</t>
        </r>
      </text>
    </comment>
    <comment ref="AA1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National growth rate
</t>
        </r>
      </text>
    </comment>
    <comment ref="AB1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State population growth rate</t>
        </r>
      </text>
    </comment>
    <comment ref="AC1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Liabilities ONLY for retirees</t>
        </r>
      </text>
    </comment>
    <comment ref="AD1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Liabilities ONLY for inactives</t>
        </r>
      </text>
    </comment>
    <comment ref="AE1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Present Value Future Benefits</t>
        </r>
      </text>
    </comment>
    <comment ref="AF1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i/>
            <sz val="9"/>
            <color indexed="81"/>
            <rFont val="Tahoma"/>
            <family val="2"/>
          </rPr>
          <t>Plan's</t>
        </r>
        <r>
          <rPr>
            <sz val="9"/>
            <color indexed="81"/>
            <rFont val="Tahoma"/>
            <family val="2"/>
          </rPr>
          <t xml:space="preserve"> inflation assumption</t>
        </r>
      </text>
    </comment>
    <comment ref="AG1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Normal Cost Rate (total)</t>
        </r>
      </text>
    </comment>
    <comment ref="AH1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Our calibration factor for actives (details in paper)</t>
        </r>
      </text>
    </comment>
    <comment ref="AI1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Our calibration factor for inactives</t>
        </r>
      </text>
    </comment>
    <comment ref="AJ1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Our calibration factor for retirees</t>
        </r>
      </text>
    </comment>
    <comment ref="V8" authorId="2" shapeId="0" xr:uid="{34F5D70F-DD8A-4983-A321-5D337AC7E0D5}">
      <text>
        <t>[Threaded comment]
Your version of Excel allows you to read this threaded comment; however, any edits to it will get removed if the file is opened in a newer version of Excel. Learn more: https://go.microsoft.com/fwlink/?linkid=870924
Comment:
    Unclear - many, many variables here. p 18</t>
      </text>
    </comment>
    <comment ref="AD8" authorId="3" shapeId="0" xr:uid="{29CC113B-CD68-46C9-A1B3-F5782D74967E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do we define inactives? Is there another word that could be listed here?</t>
      </text>
    </comment>
    <comment ref="V9" authorId="4" shapeId="0" xr:uid="{52C2F054-B547-4EC5-972A-D72805184807}">
      <text>
        <t>[Threaded comment]
Your version of Excel allows you to read this threaded comment; however, any edits to it will get removed if the file is opened in a newer version of Excel. Learn more: https://go.microsoft.com/fwlink/?linkid=870924
Comment:
    Unclear - many, many variables here. p 18</t>
      </text>
    </comment>
    <comment ref="AD9" authorId="5" shapeId="0" xr:uid="{58A81E6E-24B4-41E7-8CC6-8231DBD6D32A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do we define inactives? Is there another word that could be listed here?</t>
      </text>
    </comment>
    <comment ref="AD10" authorId="6" shapeId="0" xr:uid="{BDE0A443-C80E-4628-8D62-C7B31B2CD73E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do we define inactives? Is there another word that could be listed here?</t>
      </text>
    </comment>
    <comment ref="J21" authorId="7" shapeId="0" xr:uid="{94D76151-E435-4EA5-BF3A-20D7D77E15B9}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9, not explicitly stated in a table. Is this the accurate number?</t>
      </text>
    </comment>
    <comment ref="M21" authorId="8" shapeId="0" xr:uid="{053EC011-C15D-493C-BFAC-F8408528D58E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does inactive mean?</t>
      </text>
    </comment>
    <comment ref="R21" authorId="9" shapeId="0" xr:uid="{0F882EB4-57AA-40BD-874E-183A56C45695}">
      <text>
        <t>[Threaded comment]
Your version of Excel allows you to read this threaded comment; however, any edits to it will get removed if the file is opened in a newer version of Excel. Learn more: https://go.microsoft.com/fwlink/?linkid=870924
Comment:
    Both Active and Retired
Reply:
    Calculated manually from salary data tables</t>
      </text>
    </comment>
    <comment ref="V21" authorId="10" shapeId="0" xr:uid="{6956B8E1-80FC-4602-9266-2212CC5A7030}">
      <text>
        <t>[Threaded comment]
Your version of Excel allows you to read this threaded comment; however, any edits to it will get removed if the file is opened in a newer version of Excel. Learn more: https://go.microsoft.com/fwlink/?linkid=870924
Comment:
    Unclear - many, many variables here. p 18</t>
      </text>
    </comment>
    <comment ref="AD21" authorId="11" shapeId="0" xr:uid="{413D1026-88D5-4C7B-83D9-C6F64A411ABE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do we define inactives? Is there another word that could be listed here?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tc={5747091B-1389-4346-9635-23CE4624AAE3}</author>
    <author>tc={29C227F5-E205-4BD9-A0F1-C31DFCF07A9C}</author>
    <author>tc={7FEFEF17-FCEE-484F-8295-95E6C1B75D2C}</author>
  </authors>
  <commentList>
    <comment ref="AN1" authorId="0" shapeId="0" xr:uid="{5747091B-1389-4346-9635-23CE4624AAE3}">
      <text>
        <t>[Threaded comment]
Your version of Excel allows you to read this threaded comment; however, any edits to it will get removed if the file is opened in a newer version of Excel. Learn more: https://go.microsoft.com/fwlink/?linkid=870924
Comment:
    2: City; 5: School System</t>
      </text>
    </comment>
    <comment ref="A107" authorId="1" shapeId="0" xr:uid="{29C227F5-E205-4BD9-A0F1-C31DFCF07A9C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Check these</t>
      </text>
    </comment>
    <comment ref="G119" authorId="2" shapeId="0" xr:uid="{7FEFEF17-FCEE-484F-8295-95E6C1B75D2C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PENSION LIABILITY -- not Actuarial Value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Lorena Hernandez Barcena</author>
    <author>Alex Gant</author>
    <author>tc={8C5A7694-A3C9-4F64-9CB0-9CB83612FABF}</author>
    <author>tc={2CA121FC-8EB7-47C6-8801-85E502385EFB}</author>
    <author>tc={86E78B5B-8F0A-4CC1-9F6B-7CEC2F3A1106}</author>
    <author>tc={6AA0EF2F-9C00-44DE-A705-38DCEE748BBC}</author>
    <author>tc={B1644C11-62DB-4479-8672-F5A3E25EB734}</author>
    <author>tc={2DF3B702-E10A-409A-BB03-FA495473A750}</author>
    <author>tc={A6BEA938-487A-4F66-9FF3-1407089BF59B}</author>
    <author>tc={C05A1A67-1FF9-4974-9CC2-37F169AE734F}</author>
    <author>tc={2CD53159-5E6E-4176-B536-A34448F7ECD7}</author>
    <author>tc={BB5FC2EC-A4EB-484C-B867-F3BC70AF859E}</author>
    <author>tc={50916012-DC3D-43AD-BA42-40CA2479A416}</author>
    <author>tc={6737B0EB-14F8-46C0-BFA7-2260529078E2}</author>
    <author>tc={C61B70E9-E75D-443F-8F1B-54E757911486}</author>
  </authors>
  <commentList>
    <comment ref="G1" authorId="0" shapeId="0" xr:uid="{CC4F5ED5-85B9-4F9F-AE49-382F47C3F93A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NOTE: we updated the assets to 2020 as described in the Word Doc.</t>
        </r>
      </text>
    </comment>
    <comment ref="H1" authorId="0" shapeId="0" xr:uid="{5D32EEF3-1BD2-4323-961F-FE896E6E7266}">
      <text>
        <r>
          <rPr>
            <b/>
            <sz val="9"/>
            <color indexed="81"/>
            <rFont val="Tahoma"/>
            <charset val="1"/>
          </rPr>
          <t>Lorena Hernandez Barcena:</t>
        </r>
        <r>
          <rPr>
            <sz val="9"/>
            <color indexed="81"/>
            <rFont val="Tahoma"/>
            <charset val="1"/>
          </rPr>
          <t xml:space="preserve">
Discount rate that the plan reports using in their actuarial estimates</t>
        </r>
      </text>
    </comment>
    <comment ref="I1" authorId="0" shapeId="0" xr:uid="{D0275C4A-D901-495F-8EF9-97BD0BC6C938}">
      <text>
        <r>
          <rPr>
            <b/>
            <sz val="9"/>
            <color indexed="81"/>
            <rFont val="Tahoma"/>
            <charset val="1"/>
          </rPr>
          <t xml:space="preserve">Lorena Hernandez Barcena:
</t>
        </r>
        <r>
          <rPr>
            <sz val="9"/>
            <color indexed="81"/>
            <rFont val="Tahoma"/>
            <family val="2"/>
          </rPr>
          <t>Plan's wage inflation assumption (inflation + productivity growth)</t>
        </r>
      </text>
    </comment>
    <comment ref="J1" authorId="0" shapeId="0" xr:uid="{55BEA489-69AB-4990-8CC6-B7BABDBFC151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in 1000's</t>
        </r>
      </text>
    </comment>
    <comment ref="K1" authorId="0" shapeId="0" xr:uid="{8EDE8295-4730-471F-8A83-B15A033AF27A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Number currently working</t>
        </r>
      </text>
    </comment>
    <comment ref="L1" authorId="0" shapeId="0" xr:uid="{A2830B5A-7FA7-445E-BBFA-CAA6504B76B6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Withdrawn but not retired</t>
        </r>
      </text>
    </comment>
    <comment ref="P1" authorId="0" shapeId="0" xr:uid="{82D4F984-349D-4673-B9E5-374417831EF9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From PPD: Required contribution according to their actuarial estimates</t>
        </r>
      </text>
    </comment>
    <comment ref="R1" authorId="0" shapeId="0" xr:uid="{A353A706-D51F-4381-BE69-214E4F5975F5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Average retirement age</t>
        </r>
      </text>
    </comment>
    <comment ref="S1" authorId="0" shapeId="0" xr:uid="{14948E98-6C19-4503-9FA6-F66A8B48CCC7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Percent married (used for survivor's benefits)</t>
        </r>
      </text>
    </comment>
    <comment ref="T1" authorId="1" shapeId="0" xr:uid="{5FC1277E-9A0F-4989-9925-57E77B225C7C}">
      <text>
        <r>
          <rPr>
            <b/>
            <sz val="9"/>
            <color indexed="81"/>
            <rFont val="Tahoma"/>
            <charset val="1"/>
          </rPr>
          <t>Alex Gant:</t>
        </r>
        <r>
          <rPr>
            <sz val="9"/>
            <color indexed="81"/>
            <rFont val="Tahoma"/>
            <charset val="1"/>
          </rPr>
          <t xml:space="preserve">
Discount Factor for annuity</t>
        </r>
      </text>
    </comment>
    <comment ref="U1" authorId="0" shapeId="0" xr:uid="{9998DAF6-C844-48E7-9CFB-E3AB0C8B2C76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Fraction of benefits owed to survivor</t>
        </r>
      </text>
    </comment>
    <comment ref="V1" authorId="0" shapeId="0" xr:uid="{9646DE82-A7F5-49DC-A2C5-200878C3DC82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Penalty per year of early retirement</t>
        </r>
      </text>
    </comment>
    <comment ref="W1" authorId="0" shapeId="0" xr:uid="{5F32EFA6-3136-41BC-A80D-277D376FB6AE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Actuarial population growth assumption</t>
        </r>
      </text>
    </comment>
    <comment ref="X1" authorId="0" shapeId="0" xr:uid="{78C25977-BD37-4C94-A929-D112FE90E7FC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Population growth 30 year olds
</t>
        </r>
      </text>
    </comment>
    <comment ref="Y1" authorId="0" shapeId="0" xr:uid="{EDBB697A-7A9F-4F70-AB49-3A85207D7F17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Actuarial growth 40 year olds
</t>
        </r>
      </text>
    </comment>
    <comment ref="Z1" authorId="0" shapeId="0" xr:uid="{EECD9026-664E-41E5-B220-A2C080C15227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National growth rate
</t>
        </r>
      </text>
    </comment>
    <comment ref="AA1" authorId="0" shapeId="0" xr:uid="{5FDB8AE0-44ED-470E-B0F4-EE7DFCD1F2B5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State population growth rate</t>
        </r>
      </text>
    </comment>
    <comment ref="AB1" authorId="0" shapeId="0" xr:uid="{6AAB0E61-0BAD-464A-87E0-69C157760DB8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Liabilities ONLY for retirees</t>
        </r>
      </text>
    </comment>
    <comment ref="AC1" authorId="0" shapeId="0" xr:uid="{4D313A31-D66F-4334-A09E-B0CFED5DEB01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Liabilities ONLY for inactives</t>
        </r>
      </text>
    </comment>
    <comment ref="AD1" authorId="0" shapeId="0" xr:uid="{E61DC632-993E-4BB0-A187-4CEA93B2C10D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Present Value Future Benefits</t>
        </r>
      </text>
    </comment>
    <comment ref="AE1" authorId="0" shapeId="0" xr:uid="{5789F61F-30D7-40FD-BFBB-E3F2D55922AC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i/>
            <sz val="9"/>
            <color indexed="81"/>
            <rFont val="Tahoma"/>
            <family val="2"/>
          </rPr>
          <t>Plan's</t>
        </r>
        <r>
          <rPr>
            <sz val="9"/>
            <color indexed="81"/>
            <rFont val="Tahoma"/>
            <family val="2"/>
          </rPr>
          <t xml:space="preserve"> inflation assumption</t>
        </r>
      </text>
    </comment>
    <comment ref="AF1" authorId="0" shapeId="0" xr:uid="{47283B71-0CB5-4721-B534-3910CC6524D4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Normal Cost Rate (total)</t>
        </r>
      </text>
    </comment>
    <comment ref="AG1" authorId="0" shapeId="0" xr:uid="{7C6A9C53-89CF-4B23-B430-7D87466061F8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Our calibration factor for actives (details in paper)</t>
        </r>
      </text>
    </comment>
    <comment ref="AH1" authorId="0" shapeId="0" xr:uid="{3BA476BC-18D8-45C1-A303-D21B3A60D609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Our calibration factor for inactives</t>
        </r>
      </text>
    </comment>
    <comment ref="AI1" authorId="0" shapeId="0" xr:uid="{7F8DE3ED-4199-430C-9F70-84475419FAAF}">
      <text>
        <r>
          <rPr>
            <b/>
            <sz val="9"/>
            <color indexed="81"/>
            <rFont val="Tahoma"/>
            <family val="2"/>
          </rPr>
          <t>Lorena Hernandez Barcena:</t>
        </r>
        <r>
          <rPr>
            <sz val="9"/>
            <color indexed="81"/>
            <rFont val="Tahoma"/>
            <family val="2"/>
          </rPr>
          <t xml:space="preserve">
Our calibration factor for retirees</t>
        </r>
      </text>
    </comment>
    <comment ref="I2" authorId="2" shapeId="0" xr:uid="{8C5A7694-A3C9-4F64-9CB0-9CB83612FABF}">
      <text>
        <t>[Threaded comment]
Your version of Excel allows you to read this threaded comment; however, any edits to it will get removed if the file is opened in a newer version of Excel. Learn more: https://go.microsoft.com/fwlink/?linkid=870924
Comment:
    Page 9, not explicitly stated in a table. Is this the accurate number?</t>
      </text>
    </comment>
    <comment ref="L2" authorId="3" shapeId="0" xr:uid="{2CA121FC-8EB7-47C6-8801-85E502385EFB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does inactive mean?</t>
      </text>
    </comment>
    <comment ref="Q2" authorId="4" shapeId="0" xr:uid="{86E78B5B-8F0A-4CC1-9F6B-7CEC2F3A1106}">
      <text>
        <t>[Threaded comment]
Your version of Excel allows you to read this threaded comment; however, any edits to it will get removed if the file is opened in a newer version of Excel. Learn more: https://go.microsoft.com/fwlink/?linkid=870924
Comment:
    Both Active and Retired
Reply:
    Calculated manually from salary data tables</t>
      </text>
    </comment>
    <comment ref="U2" authorId="5" shapeId="0" xr:uid="{6AA0EF2F-9C00-44DE-A705-38DCEE748BBC}">
      <text>
        <t>[Threaded comment]
Your version of Excel allows you to read this threaded comment; however, any edits to it will get removed if the file is opened in a newer version of Excel. Learn more: https://go.microsoft.com/fwlink/?linkid=870924
Comment:
    Unclear - many, many variables here. p 18</t>
      </text>
    </comment>
    <comment ref="AC2" authorId="6" shapeId="0" xr:uid="{B1644C11-62DB-4479-8672-F5A3E25EB734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do we define inactives? Is there another word that could be listed here?</t>
      </text>
    </comment>
    <comment ref="O5" authorId="1" shapeId="0" xr:uid="{B4E89FD5-9FD9-4E61-B4B7-28C69FDC6E81}">
      <text>
        <r>
          <rPr>
            <b/>
            <sz val="9"/>
            <color indexed="81"/>
            <rFont val="Tahoma"/>
            <charset val="1"/>
          </rPr>
          <t>Alex Gant:</t>
        </r>
        <r>
          <rPr>
            <sz val="9"/>
            <color indexed="81"/>
            <rFont val="Tahoma"/>
            <charset val="1"/>
          </rPr>
          <t xml:space="preserve">
Retired Only, but we have numbers for disabled too. 
</t>
        </r>
      </text>
    </comment>
    <comment ref="Q5" authorId="7" shapeId="0" xr:uid="{2DF3B702-E10A-409A-BB03-FA495473A750}">
      <text>
        <t>[Threaded comment]
Your version of Excel allows you to read this threaded comment; however, any edits to it will get removed if the file is opened in a newer version of Excel. Learn more: https://go.microsoft.com/fwlink/?linkid=870924
Comment:
    Both Active and Retired
Reply:
    Calculated manually from data</t>
      </text>
    </comment>
    <comment ref="U5" authorId="8" shapeId="0" xr:uid="{A6BEA938-487A-4F66-9FF3-1407089BF59B}">
      <text>
        <t>[Threaded comment]
Your version of Excel allows you to read this threaded comment; however, any edits to it will get removed if the file is opened in a newer version of Excel. Learn more: https://go.microsoft.com/fwlink/?linkid=870924
Comment:
    Unclear on this one -- pge 16 is where it starts</t>
      </text>
    </comment>
    <comment ref="AC5" authorId="9" shapeId="0" xr:uid="{C05A1A67-1FF9-4974-9CC2-37F169AE734F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do we define inactives? Is there another word that could be listed here?</t>
      </text>
    </comment>
    <comment ref="U7" authorId="10" shapeId="0" xr:uid="{2CD53159-5E6E-4176-B536-A34448F7ECD7}">
      <text>
        <t>[Threaded comment]
Your version of Excel allows you to read this threaded comment; however, any edits to it will get removed if the file is opened in a newer version of Excel. Learn more: https://go.microsoft.com/fwlink/?linkid=870924
Comment:
    Unclear - many, many variables here. p 18</t>
      </text>
    </comment>
    <comment ref="AC7" authorId="11" shapeId="0" xr:uid="{BB5FC2EC-A4EB-484C-B867-F3BC70AF859E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do we define inactives? Is there another word that could be listed here?</t>
      </text>
    </comment>
    <comment ref="U8" authorId="12" shapeId="0" xr:uid="{50916012-DC3D-43AD-BA42-40CA2479A416}">
      <text>
        <t>[Threaded comment]
Your version of Excel allows you to read this threaded comment; however, any edits to it will get removed if the file is opened in a newer version of Excel. Learn more: https://go.microsoft.com/fwlink/?linkid=870924
Comment:
    Unclear - many, many variables here. p 18</t>
      </text>
    </comment>
    <comment ref="AC8" authorId="13" shapeId="0" xr:uid="{6737B0EB-14F8-46C0-BFA7-2260529078E2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do we define inactives? Is there another word that could be listed here?</t>
      </text>
    </comment>
    <comment ref="AC9" authorId="14" shapeId="0" xr:uid="{C61B70E9-E75D-443F-8F1B-54E757911486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do we define inactives? Is there another word that could be listed here?</t>
      </text>
    </comment>
  </commentList>
</comments>
</file>

<file path=xl/sharedStrings.xml><?xml version="1.0" encoding="utf-8"?>
<sst xmlns="http://schemas.openxmlformats.org/spreadsheetml/2006/main" count="1095" uniqueCount="426">
  <si>
    <t>city</t>
  </si>
  <si>
    <t>city name</t>
  </si>
  <si>
    <t>plans</t>
  </si>
  <si>
    <t>tiers</t>
  </si>
  <si>
    <t>year (s)</t>
  </si>
  <si>
    <t>data file</t>
  </si>
  <si>
    <t>code workspace file</t>
  </si>
  <si>
    <t>update log</t>
  </si>
  <si>
    <t>Atlanta</t>
  </si>
  <si>
    <t>atl</t>
  </si>
  <si>
    <t>data folder</t>
  </si>
  <si>
    <t>code folder</t>
  </si>
  <si>
    <t>Austin</t>
  </si>
  <si>
    <t>aus</t>
  </si>
  <si>
    <t>Boston</t>
  </si>
  <si>
    <t>bos</t>
  </si>
  <si>
    <t>Charlotte</t>
  </si>
  <si>
    <t>clt</t>
  </si>
  <si>
    <t>Chicago</t>
  </si>
  <si>
    <t>chi</t>
  </si>
  <si>
    <t>Dallas</t>
  </si>
  <si>
    <t>dal</t>
  </si>
  <si>
    <t>Denver</t>
  </si>
  <si>
    <t>den</t>
  </si>
  <si>
    <t>Fort Worth</t>
  </si>
  <si>
    <t>fw</t>
  </si>
  <si>
    <t>Houston</t>
  </si>
  <si>
    <t>hou</t>
  </si>
  <si>
    <t>Jacksonville</t>
  </si>
  <si>
    <t>jax</t>
  </si>
  <si>
    <t>Los Angeles</t>
  </si>
  <si>
    <t>la</t>
  </si>
  <si>
    <t>Nashville</t>
  </si>
  <si>
    <t>nsh</t>
  </si>
  <si>
    <t>New York City</t>
  </si>
  <si>
    <t>nyc</t>
  </si>
  <si>
    <t>Philadelphia</t>
  </si>
  <si>
    <t>phi</t>
  </si>
  <si>
    <t>Phoenix</t>
  </si>
  <si>
    <t>phx</t>
  </si>
  <si>
    <t>San Diego</t>
  </si>
  <si>
    <t>sd</t>
  </si>
  <si>
    <t>Seattle</t>
  </si>
  <si>
    <t>sea</t>
  </si>
  <si>
    <t>San Francisco</t>
  </si>
  <si>
    <t>sf</t>
  </si>
  <si>
    <t>Test Data</t>
  </si>
  <si>
    <t>testdata</t>
  </si>
  <si>
    <t>n/a</t>
  </si>
  <si>
    <t>na</t>
  </si>
  <si>
    <t>Formerly included, but no city level tiers:</t>
  </si>
  <si>
    <t>Indianapolis</t>
  </si>
  <si>
    <t>ind</t>
  </si>
  <si>
    <t>state only</t>
  </si>
  <si>
    <t>City</t>
  </si>
  <si>
    <t>plan name</t>
  </si>
  <si>
    <t>plan type</t>
  </si>
  <si>
    <t>planid</t>
  </si>
  <si>
    <t>year</t>
  </si>
  <si>
    <t>liability</t>
  </si>
  <si>
    <t>assets</t>
  </si>
  <si>
    <t>inflation_assumption</t>
  </si>
  <si>
    <t>discount</t>
  </si>
  <si>
    <t>wage_inf</t>
  </si>
  <si>
    <t>payroll</t>
  </si>
  <si>
    <t>actives</t>
  </si>
  <si>
    <t>inactive</t>
  </si>
  <si>
    <t>retired</t>
  </si>
  <si>
    <t>avgsalary</t>
  </si>
  <si>
    <t>avgbenefit</t>
  </si>
  <si>
    <t>reqcont</t>
  </si>
  <si>
    <t>pctmale</t>
  </si>
  <si>
    <t>avgageret</t>
  </si>
  <si>
    <t>pctmrg</t>
  </si>
  <si>
    <t>df</t>
  </si>
  <si>
    <t>reduct</t>
  </si>
  <si>
    <t>pen</t>
  </si>
  <si>
    <t>actgrowth20</t>
  </si>
  <si>
    <t>actgrowth30</t>
  </si>
  <si>
    <t>actgrowth40</t>
  </si>
  <si>
    <t>actgrowthnat</t>
  </si>
  <si>
    <t>actgrowthst</t>
  </si>
  <si>
    <t>ret_liability</t>
  </si>
  <si>
    <t>inact_liability</t>
  </si>
  <si>
    <t>PVFB</t>
  </si>
  <si>
    <t>inflation</t>
  </si>
  <si>
    <t>ncrate_tot</t>
  </si>
  <si>
    <t>calfct1</t>
  </si>
  <si>
    <t>calfct2</t>
  </si>
  <si>
    <t>calfct3</t>
  </si>
  <si>
    <t>Atlanta ERS</t>
  </si>
  <si>
    <t>gen</t>
  </si>
  <si>
    <t>atl_data19_primary</t>
  </si>
  <si>
    <t>Atlanta Fire</t>
  </si>
  <si>
    <t>ff</t>
  </si>
  <si>
    <t>atl_data19_primaryff</t>
  </si>
  <si>
    <t>Atlanta Police</t>
  </si>
  <si>
    <t>pol</t>
  </si>
  <si>
    <t>atl_data19_primarypol</t>
  </si>
  <si>
    <t>Austin ERS</t>
  </si>
  <si>
    <t>aus_data19_primary</t>
  </si>
  <si>
    <t> </t>
  </si>
  <si>
    <t>Boston RS</t>
  </si>
  <si>
    <t>bos_data19_primary</t>
  </si>
  <si>
    <t>`</t>
  </si>
  <si>
    <t>Charlotte Firefighters' RS</t>
  </si>
  <si>
    <t>clt_data19_primaryff</t>
  </si>
  <si>
    <t>Chicago Fire</t>
  </si>
  <si>
    <t>chi_data19_primaryff</t>
  </si>
  <si>
    <t>Chicago Municipal</t>
  </si>
  <si>
    <t>chi_data19_primary</t>
  </si>
  <si>
    <t>Chicago Police</t>
  </si>
  <si>
    <t>chi_data19_primarypol</t>
  </si>
  <si>
    <t>Chicago Public School Teachers</t>
  </si>
  <si>
    <t>edu</t>
  </si>
  <si>
    <t>chi_data19_primaryedu</t>
  </si>
  <si>
    <t>Dallas ERS</t>
  </si>
  <si>
    <t>dal_data19_primary</t>
  </si>
  <si>
    <t>Dallas Police and Fire</t>
  </si>
  <si>
    <t>ffpol</t>
  </si>
  <si>
    <t>dal_data19_primaryffpol</t>
  </si>
  <si>
    <t>Denver Employees</t>
  </si>
  <si>
    <t>den_data19_primary</t>
  </si>
  <si>
    <t>Houston Firefighers</t>
  </si>
  <si>
    <t>hou_data19_primaryff</t>
  </si>
  <si>
    <t>Houston Municipal</t>
  </si>
  <si>
    <t>hou_data19_primary</t>
  </si>
  <si>
    <t>Houston Police</t>
  </si>
  <si>
    <t>hou_data19_primarypol</t>
  </si>
  <si>
    <t>Los Angeles ERS</t>
  </si>
  <si>
    <t>la_data19_primary</t>
  </si>
  <si>
    <t>Los Angeles Fire and Police</t>
  </si>
  <si>
    <t>la_data19_primaryffpol</t>
  </si>
  <si>
    <t>Los Angeles Water and Power</t>
  </si>
  <si>
    <t>uty</t>
  </si>
  <si>
    <t>la_data19_primaryuty</t>
  </si>
  <si>
    <t>Nashville-Davidson ERS</t>
  </si>
  <si>
    <t>nsh_data19_primary</t>
  </si>
  <si>
    <t>New York</t>
  </si>
  <si>
    <t>New York City Educational</t>
  </si>
  <si>
    <t>nyc_data19_primaryedu</t>
  </si>
  <si>
    <t>New York City ERS</t>
  </si>
  <si>
    <t>nyc_data19_primary</t>
  </si>
  <si>
    <t>New York City Fire</t>
  </si>
  <si>
    <t>nyc_data19_primaryff</t>
  </si>
  <si>
    <t>New York City Police</t>
  </si>
  <si>
    <t>nyc_data19_primarypol</t>
  </si>
  <si>
    <t>New York City Teachers Retirement System</t>
  </si>
  <si>
    <t>nyc_data19_primaryedu2</t>
  </si>
  <si>
    <t>Philadelphia Municipal</t>
  </si>
  <si>
    <t>phi_data19_primary</t>
  </si>
  <si>
    <t>Phoenix ERS</t>
  </si>
  <si>
    <t>phx_data19_primary</t>
  </si>
  <si>
    <t>San Diego City ERS</t>
  </si>
  <si>
    <t>sd_data19_primary</t>
  </si>
  <si>
    <t>San Francisco City &amp; County</t>
  </si>
  <si>
    <t>sf_data19_primary</t>
  </si>
  <si>
    <t>Seattle ERS</t>
  </si>
  <si>
    <t>sea_data19_primary</t>
  </si>
  <si>
    <t>PlanName</t>
  </si>
  <si>
    <t>PlanType</t>
  </si>
  <si>
    <t>fy</t>
  </si>
  <si>
    <t>ppd_id</t>
  </si>
  <si>
    <t>actives_tot</t>
  </si>
  <si>
    <t>ActiveSalary_avg</t>
  </si>
  <si>
    <t>BeneficiaryBenefit_avg</t>
  </si>
  <si>
    <t>reqcont employer</t>
  </si>
  <si>
    <t>reqcon employee</t>
  </si>
  <si>
    <t>TotMembership</t>
  </si>
  <si>
    <t>AdministeringGovt</t>
  </si>
  <si>
    <t>beneficiaries_ServiceRetirees</t>
  </si>
  <si>
    <t>beneficiaries_survivors</t>
  </si>
  <si>
    <t>beneficiaries_SpousalSurvivors</t>
  </si>
  <si>
    <t>beneficiaries_other</t>
  </si>
  <si>
    <t>InactiveVestedMembers</t>
  </si>
  <si>
    <t>InactiveNonVested</t>
  </si>
  <si>
    <t>Anchorage</t>
  </si>
  <si>
    <t>Anchorage Police and Fire</t>
  </si>
  <si>
    <t>anc_data19_primaryffpol</t>
  </si>
  <si>
    <t>anc_data20_primaryffpol</t>
  </si>
  <si>
    <t>atl_data20_primary</t>
  </si>
  <si>
    <t>atl_data20_primarypol</t>
  </si>
  <si>
    <t>atl_data18_primaryff</t>
  </si>
  <si>
    <t>atl_data20_primaryff</t>
  </si>
  <si>
    <t>aus_data20_primary</t>
  </si>
  <si>
    <t>Austin Fire</t>
  </si>
  <si>
    <t>aus_data18_primaryff</t>
  </si>
  <si>
    <t>Austin Police</t>
  </si>
  <si>
    <t>aus_data18_primarypol</t>
  </si>
  <si>
    <t>Baltimore</t>
  </si>
  <si>
    <t>Baltimore City Employees</t>
  </si>
  <si>
    <t>bal_data19_primary</t>
  </si>
  <si>
    <t>bal_data20_primary</t>
  </si>
  <si>
    <t>Baltimore Fire and Police</t>
  </si>
  <si>
    <t>bal_data19_primaryffpol</t>
  </si>
  <si>
    <t>bal_data20_primaryffpol</t>
  </si>
  <si>
    <t>Baton Rouge</t>
  </si>
  <si>
    <t>Baton Rouge City Parish RS</t>
  </si>
  <si>
    <t>btr_data19_primary</t>
  </si>
  <si>
    <t>btr_data20_primary</t>
  </si>
  <si>
    <t>Birmingham</t>
  </si>
  <si>
    <t>Birmingham RRS</t>
  </si>
  <si>
    <t>bhm_data19_primary</t>
  </si>
  <si>
    <t>bhm_data20_primary</t>
  </si>
  <si>
    <t>Bismarck</t>
  </si>
  <si>
    <t>Bismarck Employees' Pension Plan</t>
  </si>
  <si>
    <t>bis_data19_primary</t>
  </si>
  <si>
    <t>bis_data20_primary</t>
  </si>
  <si>
    <t>bos_data20_primary</t>
  </si>
  <si>
    <t>Burlington</t>
  </si>
  <si>
    <t>Burlington ERS</t>
  </si>
  <si>
    <t>bur_data19_primary</t>
  </si>
  <si>
    <t>bur_data20_primary</t>
  </si>
  <si>
    <t>Charleston</t>
  </si>
  <si>
    <t>Charleston, WV Firemen's Pension</t>
  </si>
  <si>
    <t>crw_data19_primaryff</t>
  </si>
  <si>
    <t>crw_data20_primaryff</t>
  </si>
  <si>
    <t>clt_data20_primaryff</t>
  </si>
  <si>
    <t>Chattanooga</t>
  </si>
  <si>
    <t>Chattanooga Fire and Police</t>
  </si>
  <si>
    <t>cha_data18_primaryffpol</t>
  </si>
  <si>
    <t>chi_data20_primaryedu</t>
  </si>
  <si>
    <t>chi_data18_primaryff</t>
  </si>
  <si>
    <t>chi_data20_primary</t>
  </si>
  <si>
    <t>chi_data20_primarypol</t>
  </si>
  <si>
    <t>Chicago Teachers</t>
  </si>
  <si>
    <t>chi_data20_primaryff</t>
  </si>
  <si>
    <t>Cincinnati</t>
  </si>
  <si>
    <t>Cincinnati ERS</t>
  </si>
  <si>
    <t>cin_data19_primary</t>
  </si>
  <si>
    <t>cin_data20_primary</t>
  </si>
  <si>
    <t>dal_data20_primaryffpol</t>
  </si>
  <si>
    <t>dal_data20_primary</t>
  </si>
  <si>
    <t>DC</t>
  </si>
  <si>
    <t>DC Police &amp; Fire</t>
  </si>
  <si>
    <t>dc_data19_primaryffpol</t>
  </si>
  <si>
    <t>dc_data20_primaryffpol</t>
  </si>
  <si>
    <t>DC Teachers</t>
  </si>
  <si>
    <t>dc_data19_primaryedu</t>
  </si>
  <si>
    <t>dc_data20_primaryedu</t>
  </si>
  <si>
    <t>den_data20_primary</t>
  </si>
  <si>
    <t>Denver Schools</t>
  </si>
  <si>
    <t>den_data19_primaryedy</t>
  </si>
  <si>
    <t>den_data20_primaryedy</t>
  </si>
  <si>
    <t>Des Moines</t>
  </si>
  <si>
    <t>Des Moines Water Works</t>
  </si>
  <si>
    <t>des_data19_primary</t>
  </si>
  <si>
    <t>des_data20_primary</t>
  </si>
  <si>
    <t>Detroit</t>
  </si>
  <si>
    <t>Detroit General RS</t>
  </si>
  <si>
    <t>det_data19_primary</t>
  </si>
  <si>
    <t>det_data20_primaryffpol</t>
  </si>
  <si>
    <t>Detroit Police and Fire</t>
  </si>
  <si>
    <t>det_data19_primaryffpol</t>
  </si>
  <si>
    <t>det_data20_primary</t>
  </si>
  <si>
    <t>Duluth</t>
  </si>
  <si>
    <t>Duluth Teachers</t>
  </si>
  <si>
    <t>dul_data19_primaryedu</t>
  </si>
  <si>
    <t>dul_data20_primaryedu</t>
  </si>
  <si>
    <t>Fargo</t>
  </si>
  <si>
    <t>Fargo Fire</t>
  </si>
  <si>
    <t>fgo_data18_primaryff</t>
  </si>
  <si>
    <t>Fargo Police</t>
  </si>
  <si>
    <t>fgo_data18_primarypol</t>
  </si>
  <si>
    <t>Fresno</t>
  </si>
  <si>
    <t>Fresno Police and Fire</t>
  </si>
  <si>
    <t>frn_data18_primaryffpol</t>
  </si>
  <si>
    <t>Greenville</t>
  </si>
  <si>
    <t>Greenville Fire Pension Plan</t>
  </si>
  <si>
    <t>grn_data19_primaryff</t>
  </si>
  <si>
    <t>grn_data20_primaryff</t>
  </si>
  <si>
    <t>Hartford</t>
  </si>
  <si>
    <t>Hartford MERF</t>
  </si>
  <si>
    <t>htf_data19_primary</t>
  </si>
  <si>
    <t>htf_data20_primary</t>
  </si>
  <si>
    <t>Houston Firefighters</t>
  </si>
  <si>
    <t>hou_data20_primaryff</t>
  </si>
  <si>
    <t>hou_data20_primary</t>
  </si>
  <si>
    <t>hou_data20_primarypol</t>
  </si>
  <si>
    <t>hou_data18_primarypol</t>
  </si>
  <si>
    <t>Jacksonville ERS</t>
  </si>
  <si>
    <t>jax_data19_primary</t>
  </si>
  <si>
    <t>jax_data20_primary</t>
  </si>
  <si>
    <t>Jacksonville Fire and Police</t>
  </si>
  <si>
    <t>jax_data19_primaryffpol</t>
  </si>
  <si>
    <t>jax_data20_primaryffpol</t>
  </si>
  <si>
    <t>jax_data18_primaryffpol</t>
  </si>
  <si>
    <t>Jersey City</t>
  </si>
  <si>
    <t>Jersey City Municipal Employees</t>
  </si>
  <si>
    <t>jer_data19_primarygen</t>
  </si>
  <si>
    <t>jer_data20_primarygen</t>
  </si>
  <si>
    <t>Kansas City</t>
  </si>
  <si>
    <t>Kansas City Fire</t>
  </si>
  <si>
    <t>kc_data18_primaryff</t>
  </si>
  <si>
    <t>Kansas</t>
  </si>
  <si>
    <t>Kansas City Missouri ERS</t>
  </si>
  <si>
    <t>kc_data19_primary</t>
  </si>
  <si>
    <t>kc_data20_primary</t>
  </si>
  <si>
    <t>Kansas City Schools</t>
  </si>
  <si>
    <t>kc_data19_primaryedu</t>
  </si>
  <si>
    <t>kc_data20_primaryedu</t>
  </si>
  <si>
    <t>Kansas City, Police Retirement System.</t>
  </si>
  <si>
    <t>kc_data18_primarypol</t>
  </si>
  <si>
    <t>Little Rock</t>
  </si>
  <si>
    <t>Little Rock Firemen’s Fund</t>
  </si>
  <si>
    <t>ltr_data19_primaryff</t>
  </si>
  <si>
    <t>ltr_data20_primaryff</t>
  </si>
  <si>
    <t>la_data20_primary</t>
  </si>
  <si>
    <t>la_data20_primaryffpol</t>
  </si>
  <si>
    <t>la_data20_primaryuty</t>
  </si>
  <si>
    <t>Milwaukee</t>
  </si>
  <si>
    <t>Milwaukee City ERS</t>
  </si>
  <si>
    <t>mil_ data19_primary</t>
  </si>
  <si>
    <t>mil_data20_primary</t>
  </si>
  <si>
    <t>Minneapolis</t>
  </si>
  <si>
    <t>Minneapolis ERF</t>
  </si>
  <si>
    <t>min_data19_primary</t>
  </si>
  <si>
    <t>min_data20_primary</t>
  </si>
  <si>
    <t>Mobile</t>
  </si>
  <si>
    <t>Mobile Police and Fire</t>
  </si>
  <si>
    <t>mob_data18_primaryffpol</t>
  </si>
  <si>
    <t>nsh_data20_primary</t>
  </si>
  <si>
    <t>New Orleans</t>
  </si>
  <si>
    <t>New Orleans ERS</t>
  </si>
  <si>
    <t>no_data19_primary</t>
  </si>
  <si>
    <t>no_data20_primary</t>
  </si>
  <si>
    <t>New Orleans Fire</t>
  </si>
  <si>
    <t>no_data18_primaryff</t>
  </si>
  <si>
    <t>nyc_data19_primaryedu1</t>
  </si>
  <si>
    <t>nyc_data20_primary</t>
  </si>
  <si>
    <t>nyc_data20_primaryff</t>
  </si>
  <si>
    <t>nyc_data20_primarypol</t>
  </si>
  <si>
    <t>New York City Teachers</t>
  </si>
  <si>
    <t>nyc_data20_primaryedu2</t>
  </si>
  <si>
    <t>New York Educational</t>
  </si>
  <si>
    <t>nyc_data20_primaryedu1</t>
  </si>
  <si>
    <t>Oklahoma City</t>
  </si>
  <si>
    <t>Oklahoma City ERS</t>
  </si>
  <si>
    <t>okc_data19_primary</t>
  </si>
  <si>
    <t>okc_data20_primary</t>
  </si>
  <si>
    <t>Omaha</t>
  </si>
  <si>
    <t>Omaha ERS</t>
  </si>
  <si>
    <t>oma_data19_primary</t>
  </si>
  <si>
    <t>oma_data20_primaryedu</t>
  </si>
  <si>
    <t>Omaha Police and Fire</t>
  </si>
  <si>
    <t>oma_data19_primaryffpol</t>
  </si>
  <si>
    <t>oma_data20_primaryffpol</t>
  </si>
  <si>
    <t>Omaha School</t>
  </si>
  <si>
    <t>oma_data19_primaryedu</t>
  </si>
  <si>
    <t>oma_data20_primary</t>
  </si>
  <si>
    <t>phi_data20_primary</t>
  </si>
  <si>
    <t>phx_data20_primary</t>
  </si>
  <si>
    <t>Pittsburgh</t>
  </si>
  <si>
    <t>Pittsburgh Fire</t>
  </si>
  <si>
    <t>Pittsburgh Municipal</t>
  </si>
  <si>
    <t>pit_data19_primary</t>
  </si>
  <si>
    <t>pit_data20_primarypol</t>
  </si>
  <si>
    <t>Pittsburgh Police</t>
  </si>
  <si>
    <t>pit_data19_primarypol</t>
  </si>
  <si>
    <t>pit_data20_primary</t>
  </si>
  <si>
    <t>Providence</t>
  </si>
  <si>
    <t>Providence ERS</t>
  </si>
  <si>
    <t>pvd_data19_primary</t>
  </si>
  <si>
    <t>pvd_data20_primary</t>
  </si>
  <si>
    <t>San Antonio</t>
  </si>
  <si>
    <t>San Antonio Fire and Police</t>
  </si>
  <si>
    <t>sa_data18_primaryffpol</t>
  </si>
  <si>
    <t>sd_data20_primary</t>
  </si>
  <si>
    <t>sf_data19_primarygen</t>
  </si>
  <si>
    <t>sf_data20_primarygen</t>
  </si>
  <si>
    <t>San Jose</t>
  </si>
  <si>
    <t>San Jose Police and Fire</t>
  </si>
  <si>
    <t>sj_data18_primaryffpol</t>
  </si>
  <si>
    <t>sea_data20_primary</t>
  </si>
  <si>
    <t>Sioux Falls</t>
  </si>
  <si>
    <t>Sioux Falls ERS</t>
  </si>
  <si>
    <t>sxf_data19_primary</t>
  </si>
  <si>
    <t>sxf_data20_primary</t>
  </si>
  <si>
    <t>Sioux Falls Fire</t>
  </si>
  <si>
    <t>sxf_data18_primaryff</t>
  </si>
  <si>
    <t>Spokane</t>
  </si>
  <si>
    <t>Spokane Fire</t>
  </si>
  <si>
    <t>spo_data18_primaryff</t>
  </si>
  <si>
    <t>St. Louis</t>
  </si>
  <si>
    <t>St. Louis Employees</t>
  </si>
  <si>
    <t>stl_data19_primary</t>
  </si>
  <si>
    <t>stl_data20_primaryedu</t>
  </si>
  <si>
    <t>St. Louis Firemen</t>
  </si>
  <si>
    <t>stl_data18_primaryff</t>
  </si>
  <si>
    <t>St. Louis Police</t>
  </si>
  <si>
    <t>stl_data18_primarypol</t>
  </si>
  <si>
    <t>St. Louis School Employees</t>
  </si>
  <si>
    <t>stl_data19_primaryedu</t>
  </si>
  <si>
    <t>stl_data20_primary</t>
  </si>
  <si>
    <t>St. Paul</t>
  </si>
  <si>
    <t>St. Paul Teachers</t>
  </si>
  <si>
    <t>stp_data19_primaryedu</t>
  </si>
  <si>
    <t>stp_data20_primaryedu</t>
  </si>
  <si>
    <t>Tampa</t>
  </si>
  <si>
    <t>Tampa Fire and Police</t>
  </si>
  <si>
    <t>tb_data18_primaryffpol</t>
  </si>
  <si>
    <t>Tucson</t>
  </si>
  <si>
    <t>Tucson Supplemental RS</t>
  </si>
  <si>
    <t>tuc_data19_primary</t>
  </si>
  <si>
    <t>tuc_data20_primary</t>
  </si>
  <si>
    <t>Wichita</t>
  </si>
  <si>
    <t>Wichita ERS</t>
  </si>
  <si>
    <t>wic_data19_primary</t>
  </si>
  <si>
    <t>wic_data20_primary</t>
  </si>
  <si>
    <t>Wichita Police and Fire</t>
  </si>
  <si>
    <t>wic_data19_primaryffpol</t>
  </si>
  <si>
    <t>wic_data20_primaryffpol</t>
  </si>
  <si>
    <t>wic_data18_primaryffpol</t>
  </si>
  <si>
    <t>Wilmington</t>
  </si>
  <si>
    <t>Wilmington Police</t>
  </si>
  <si>
    <t>wil_data18_primarypol</t>
  </si>
  <si>
    <t>NSH_PT_2020</t>
  </si>
  <si>
    <t>BOS_P1</t>
  </si>
  <si>
    <t>BOS_P2</t>
  </si>
  <si>
    <t>CHI_P1</t>
  </si>
  <si>
    <t>CHI_P2</t>
  </si>
  <si>
    <t>DAL_P1</t>
  </si>
  <si>
    <t>DEN_P1</t>
  </si>
  <si>
    <t>DEN_P2</t>
  </si>
  <si>
    <t>NY_P1</t>
  </si>
  <si>
    <t>SEA_P1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</si>
</sst>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</font>
    <font>
      <sz val="11"/>
      <color rgb="FF000000"/>
      <name val="Calibri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16">
    <xf numFmtId="0" fontId="0" fillId="0" borderId="0" xfId="0"/>
    <xf numFmtId="3" fontId="0" fillId="0" borderId="0" xfId="0" applyNumberFormat="1"/>
    <xf numFmtId="4" fontId="0" fillId="0" borderId="0" xfId="0" applyNumberFormat="1"/>
    <xf numFmtId="0" fontId="0" fillId="33" borderId="0" xfId="0" applyFill="1"/>
    <xf numFmtId="0" fontId="0" fillId="34" borderId="0" xfId="0" applyFill="1"/>
    <xf numFmtId="0" fontId="24" fillId="0" borderId="0" xfId="0" applyFont="1"/>
    <xf numFmtId="0" fontId="23" fillId="0" borderId="0" xfId="42" applyAlignment="1">
      <alignment vertical="center"/>
    </xf>
    <xf numFmtId="0" fontId="25" fillId="0" borderId="0" xfId="0" applyFont="1"/>
    <xf numFmtId="0" fontId="0" fillId="35" borderId="0" xfId="0" applyFill="1"/>
    <xf numFmtId="11" fontId="24" fillId="0" borderId="0" xfId="0" applyNumberFormat="1" applyFont="1"/>
    <xf numFmtId="0" fontId="0" fillId="36" borderId="0" xfId="0" applyFill="1"/>
    <xf numFmtId="0" fontId="24" fillId="36" borderId="0" xfId="0" applyFont="1" applyFill="1"/>
    <xf numFmtId="0" fontId="25" fillId="37" borderId="0" xfId="0" applyFont="1" applyFill="1"/>
    <xf numFmtId="0" fontId="24" fillId="38" borderId="0" xfId="0" applyFont="1" applyFill="1"/>
    <xf numFmtId="0" fontId="26" fillId="38" borderId="0" xfId="0" applyFont="1" applyFill="1"/>
    <xf numFmtId="0" fontId="24" fillId="35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x Gant" id="{8BEBCA78-7BF7-4868-A116-5B991424577A}" userId="Alex Gant" providerId="None"/>
  <person displayName="Alex Gant" id="{C8E86D63-E2AD-4078-805A-2E9B521BEE11}" userId="S::agant@mit.edu::bd092711-1441-451f-bcf0-0a117e6aec0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8" dT="2021-12-17T22:20:05.54" personId="{8BEBCA78-7BF7-4868-A116-5B991424577A}" id="{34F5D70F-DD8A-4983-A321-5D337AC7E0D5}">
    <text>Unclear - many, many variables here. p 18</text>
  </threadedComment>
  <threadedComment ref="AD8" dT="2021-12-17T21:48:17.46" personId="{8BEBCA78-7BF7-4868-A116-5B991424577A}" id="{29CC113B-CD68-46C9-A1B3-F5782D74967E}">
    <text>How do we define inactives? Is there another word that could be listed here?</text>
  </threadedComment>
  <threadedComment ref="V9" dT="2021-12-17T22:20:05.54" personId="{8BEBCA78-7BF7-4868-A116-5B991424577A}" id="{52C2F054-B547-4EC5-972A-D72805184807}">
    <text>Unclear - many, many variables here. p 18</text>
  </threadedComment>
  <threadedComment ref="AD9" dT="2021-12-17T21:48:17.46" personId="{8BEBCA78-7BF7-4868-A116-5B991424577A}" id="{58A81E6E-24B4-41E7-8CC6-8231DBD6D32A}">
    <text>How do we define inactives? Is there another word that could be listed here?</text>
  </threadedComment>
  <threadedComment ref="AD10" dT="2021-12-17T21:48:17.46" personId="{8BEBCA78-7BF7-4868-A116-5B991424577A}" id="{BDE0A443-C80E-4628-8D62-C7B31B2CD73E}">
    <text>How do we define inactives? Is there another word that could be listed here?</text>
  </threadedComment>
  <threadedComment ref="J21" dT="2021-12-17T21:12:31.49" personId="{8BEBCA78-7BF7-4868-A116-5B991424577A}" id="{EA691F19-A71F-40E9-A731-0509FC8B86A5}">
    <text>Page 9, not explicitly stated in a table. Is this the accurate number?</text>
  </threadedComment>
  <threadedComment ref="M21" dT="2021-12-17T21:57:08.54" personId="{8BEBCA78-7BF7-4868-A116-5B991424577A}" id="{94575953-95B1-4527-83D3-D42650DF9F42}">
    <text>What does inactive mean?</text>
  </threadedComment>
  <threadedComment ref="R21" dT="2021-12-17T21:56:55.48" personId="{8BEBCA78-7BF7-4868-A116-5B991424577A}" id="{5ADEE005-3130-476E-93F7-9699064E16CA}">
    <text>Both Active and Retired</text>
  </threadedComment>
  <threadedComment ref="R21" dT="2021-12-17T22:12:36.39" personId="{8BEBCA78-7BF7-4868-A116-5B991424577A}" id="{C7AB32DF-E363-4CAA-8A9C-1304CBBF1221}" parentId="{5ADEE005-3130-476E-93F7-9699064E16CA}">
    <text>Calculated manually from salary data tables</text>
  </threadedComment>
  <threadedComment ref="V21" dT="2021-12-17T22:20:05.54" personId="{8BEBCA78-7BF7-4868-A116-5B991424577A}" id="{34F5D70F-DD8A-4984-A321-5D337AC7E0D5}">
    <text>Unclear - many, many variables here. p 18</text>
  </threadedComment>
  <threadedComment ref="AD21" dT="2021-12-17T21:48:17.46" personId="{8BEBCA78-7BF7-4868-A116-5B991424577A}" id="{29CC113B-CD68-46CA-A1B3-F5782D74967E}">
    <text>How do we define inactives? Is there another word that could be listed here?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N1" dT="2022-03-07T16:13:26.07" personId="{C8E86D63-E2AD-4078-805A-2E9B521BEE11}" id="{5747091B-1389-4346-9635-23CE4624AAE3}">
    <text>2: City; 5: School System</text>
  </threadedComment>
  <threadedComment ref="A107" dT="2022-03-07T16:17:56.19" personId="{C8E86D63-E2AD-4078-805A-2E9B521BEE11}" id="{29C227F5-E205-4BD9-A0F1-C31DFCF07A9C}">
    <text>Double Check these</text>
  </threadedComment>
  <threadedComment ref="G119" dT="2022-03-07T16:36:07.12" personId="{C8E86D63-E2AD-4078-805A-2E9B521BEE11}" id="{7FEFEF17-FCEE-484F-8295-95E6C1B75D2C}">
    <text>TOTAL PENSION LIABILITY -- not Actuarial Value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2" dT="2021-12-17T21:12:31.49" personId="{8BEBCA78-7BF7-4868-A116-5B991424577A}" id="{8C5A7694-A3C9-4F64-9CB0-9CB83612FABF}">
    <text>Page 9, not explicitly stated in a table. Is this the accurate number?</text>
  </threadedComment>
  <threadedComment ref="L2" dT="2021-12-17T21:57:08.54" personId="{8BEBCA78-7BF7-4868-A116-5B991424577A}" id="{2CA121FC-8EB7-47C6-8801-85E502385EFB}">
    <text>What does inactive mean?</text>
  </threadedComment>
  <threadedComment ref="Q2" dT="2021-12-17T21:56:55.48" personId="{8BEBCA78-7BF7-4868-A116-5B991424577A}" id="{86E78B5B-8F0A-4CC1-9F6B-7CEC2F3A1106}">
    <text>Both Active and Retired</text>
  </threadedComment>
  <threadedComment ref="Q2" dT="2021-12-17T22:12:36.39" personId="{8BEBCA78-7BF7-4868-A116-5B991424577A}" id="{25E67704-C9AB-40FF-9296-12C68171BC2D}" parentId="{86E78B5B-8F0A-4CC1-9F6B-7CEC2F3A1106}">
    <text>Calculated manually from salary data tables</text>
  </threadedComment>
  <threadedComment ref="U2" dT="2021-12-17T22:20:05.54" personId="{8BEBCA78-7BF7-4868-A116-5B991424577A}" id="{6AA0EF2F-9C00-44DE-A705-38DCEE748BBC}">
    <text>Unclear - many, many variables here. p 18</text>
  </threadedComment>
  <threadedComment ref="AC2" dT="2021-12-17T21:48:17.46" personId="{8BEBCA78-7BF7-4868-A116-5B991424577A}" id="{B1644C11-62DB-4479-8672-F5A3E25EB734}">
    <text>How do we define inactives? Is there another word that could be listed here?</text>
  </threadedComment>
  <threadedComment ref="Q5" dT="2021-12-17T21:56:55.48" personId="{8BEBCA78-7BF7-4868-A116-5B991424577A}" id="{2DF3B702-E10A-409A-BB03-FA495473A750}">
    <text>Both Active and Retired</text>
  </threadedComment>
  <threadedComment ref="Q5" dT="2021-12-17T22:12:36.39" personId="{8BEBCA78-7BF7-4868-A116-5B991424577A}" id="{3E427FF0-3739-43D9-8691-894512B7456A}" parentId="{2DF3B702-E10A-409A-BB03-FA495473A750}">
    <text>Calculated manually from data</text>
  </threadedComment>
  <threadedComment ref="U5" dT="2021-12-17T22:18:42.99" personId="{8BEBCA78-7BF7-4868-A116-5B991424577A}" id="{A6BEA938-487A-4F66-9FF3-1407089BF59B}">
    <text>Unclear on this one -- pge 16 is where it starts</text>
  </threadedComment>
  <threadedComment ref="AC5" dT="2021-12-17T21:48:17.46" personId="{8BEBCA78-7BF7-4868-A116-5B991424577A}" id="{C05A1A67-1FF9-4974-9CC2-37F169AE734F}">
    <text>How do we define inactives? Is there another word that could be listed here?</text>
  </threadedComment>
  <threadedComment ref="U7" dT="2021-12-17T22:20:05.54" personId="{8BEBCA78-7BF7-4868-A116-5B991424577A}" id="{2CD53159-5E6E-4176-B536-A34448F7ECD7}">
    <text>Unclear - many, many variables here. p 18</text>
  </threadedComment>
  <threadedComment ref="AC7" dT="2021-12-17T21:48:17.46" personId="{8BEBCA78-7BF7-4868-A116-5B991424577A}" id="{BB5FC2EC-A4EB-484C-B867-F3BC70AF859E}">
    <text>How do we define inactives? Is there another word that could be listed here?</text>
  </threadedComment>
  <threadedComment ref="U8" dT="2021-12-17T22:20:05.54" personId="{8BEBCA78-7BF7-4868-A116-5B991424577A}" id="{50916012-DC3D-43AD-BA42-40CA2479A416}">
    <text>Unclear - many, many variables here. p 18</text>
  </threadedComment>
  <threadedComment ref="AC8" dT="2021-12-17T21:48:17.46" personId="{8BEBCA78-7BF7-4868-A116-5B991424577A}" id="{6737B0EB-14F8-46C0-BFA7-2260529078E2}">
    <text>How do we define inactives? Is there another word that could be listed here?</text>
  </threadedComment>
  <threadedComment ref="AC9" dT="2021-12-17T21:48:17.46" personId="{8BEBCA78-7BF7-4868-A116-5B991424577A}" id="{C61B70E9-E75D-443F-8F1B-54E757911486}">
    <text>How do we define inactives? Is there another word that could be listed here?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9D92B-7551-4404-896B-D5DAE47ED11C}">
  <dimension ref="A1:H25"/>
  <sheetViews>
    <sheetView topLeftCell="A17" workbookViewId="0">
      <selection activeCell="C12" sqref="C12"/>
    </sheetView>
  </sheetViews>
  <sheetFormatPr defaultRowHeight="15"/>
  <cols>
    <col min="1" max="1" width="12.85546875" customWidth="1"/>
    <col min="2" max="2" width="8.85546875" customWidth="1"/>
    <col min="6" max="6" width="17.28515625" customWidth="1"/>
    <col min="7" max="7" width="11.85546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</v>
      </c>
      <c r="E2">
        <v>2019</v>
      </c>
      <c r="F2" s="6" t="s">
        <v>10</v>
      </c>
      <c r="G2" s="6" t="s">
        <v>11</v>
      </c>
    </row>
    <row r="3" spans="1:8">
      <c r="A3" t="s">
        <v>12</v>
      </c>
      <c r="B3" t="s">
        <v>13</v>
      </c>
      <c r="C3">
        <v>1</v>
      </c>
      <c r="E3">
        <v>2019</v>
      </c>
      <c r="F3" s="6" t="s">
        <v>10</v>
      </c>
      <c r="G3" s="6" t="s">
        <v>11</v>
      </c>
    </row>
    <row r="4" spans="1:8">
      <c r="A4" t="s">
        <v>14</v>
      </c>
      <c r="B4" t="s">
        <v>15</v>
      </c>
      <c r="C4">
        <v>1</v>
      </c>
      <c r="E4">
        <v>2019</v>
      </c>
      <c r="F4" s="6" t="s">
        <v>10</v>
      </c>
      <c r="G4" s="6" t="s">
        <v>11</v>
      </c>
    </row>
    <row r="5" spans="1:8">
      <c r="A5" t="s">
        <v>16</v>
      </c>
      <c r="B5" t="s">
        <v>17</v>
      </c>
      <c r="C5">
        <v>1</v>
      </c>
      <c r="E5">
        <v>2019</v>
      </c>
      <c r="F5" s="6" t="s">
        <v>10</v>
      </c>
      <c r="G5" s="6" t="s">
        <v>11</v>
      </c>
    </row>
    <row r="6" spans="1:8">
      <c r="A6" t="s">
        <v>18</v>
      </c>
      <c r="B6" t="s">
        <v>19</v>
      </c>
      <c r="C6">
        <v>4</v>
      </c>
      <c r="E6">
        <v>2019</v>
      </c>
      <c r="F6" s="6" t="s">
        <v>10</v>
      </c>
      <c r="G6" s="6" t="s">
        <v>11</v>
      </c>
    </row>
    <row r="7" spans="1:8">
      <c r="A7" t="s">
        <v>20</v>
      </c>
      <c r="B7" t="s">
        <v>21</v>
      </c>
      <c r="C7">
        <v>2</v>
      </c>
      <c r="E7">
        <v>2019</v>
      </c>
      <c r="F7" s="6" t="s">
        <v>10</v>
      </c>
      <c r="G7" s="6" t="s">
        <v>11</v>
      </c>
    </row>
    <row r="8" spans="1:8">
      <c r="A8" t="s">
        <v>22</v>
      </c>
      <c r="B8" t="s">
        <v>23</v>
      </c>
      <c r="C8">
        <v>1</v>
      </c>
      <c r="E8">
        <v>2019</v>
      </c>
      <c r="F8" s="6" t="s">
        <v>10</v>
      </c>
      <c r="G8" s="6" t="s">
        <v>11</v>
      </c>
    </row>
    <row r="9" spans="1:8">
      <c r="A9" t="s">
        <v>24</v>
      </c>
      <c r="B9" t="s">
        <v>25</v>
      </c>
      <c r="C9">
        <v>1</v>
      </c>
      <c r="E9">
        <v>2019</v>
      </c>
      <c r="F9" s="6" t="s">
        <v>10</v>
      </c>
      <c r="G9" s="6" t="s">
        <v>11</v>
      </c>
    </row>
    <row r="10" spans="1:8">
      <c r="A10" t="s">
        <v>26</v>
      </c>
      <c r="B10" t="s">
        <v>27</v>
      </c>
      <c r="C10">
        <v>3</v>
      </c>
      <c r="E10">
        <v>2019</v>
      </c>
      <c r="F10" s="6" t="s">
        <v>10</v>
      </c>
      <c r="G10" s="6" t="s">
        <v>11</v>
      </c>
    </row>
    <row r="11" spans="1:8">
      <c r="A11" t="s">
        <v>28</v>
      </c>
      <c r="B11" t="s">
        <v>29</v>
      </c>
      <c r="C11">
        <v>1</v>
      </c>
      <c r="F11" s="6"/>
      <c r="G11" s="6"/>
    </row>
    <row r="12" spans="1:8">
      <c r="A12" t="s">
        <v>30</v>
      </c>
      <c r="B12" t="s">
        <v>31</v>
      </c>
      <c r="C12">
        <v>3</v>
      </c>
      <c r="E12">
        <v>2019</v>
      </c>
      <c r="F12" s="6" t="s">
        <v>10</v>
      </c>
      <c r="G12" s="6" t="s">
        <v>11</v>
      </c>
    </row>
    <row r="13" spans="1:8">
      <c r="A13" t="s">
        <v>32</v>
      </c>
      <c r="B13" t="s">
        <v>33</v>
      </c>
      <c r="C13">
        <v>1</v>
      </c>
      <c r="E13">
        <v>2019</v>
      </c>
      <c r="F13" s="6" t="s">
        <v>10</v>
      </c>
      <c r="G13" s="6" t="s">
        <v>11</v>
      </c>
    </row>
    <row r="14" spans="1:8">
      <c r="A14" t="s">
        <v>34</v>
      </c>
      <c r="B14" t="s">
        <v>35</v>
      </c>
      <c r="C14">
        <v>5</v>
      </c>
      <c r="E14">
        <v>2019</v>
      </c>
      <c r="F14" s="6" t="s">
        <v>10</v>
      </c>
      <c r="G14" s="6" t="s">
        <v>11</v>
      </c>
    </row>
    <row r="15" spans="1:8">
      <c r="A15" t="s">
        <v>36</v>
      </c>
      <c r="B15" t="s">
        <v>37</v>
      </c>
      <c r="C15">
        <v>1</v>
      </c>
      <c r="E15">
        <v>2019</v>
      </c>
      <c r="F15" s="6" t="s">
        <v>10</v>
      </c>
      <c r="G15" s="6" t="s">
        <v>11</v>
      </c>
    </row>
    <row r="16" spans="1:8">
      <c r="A16" t="s">
        <v>38</v>
      </c>
      <c r="B16" t="s">
        <v>39</v>
      </c>
      <c r="C16">
        <v>1</v>
      </c>
      <c r="E16">
        <v>2019</v>
      </c>
      <c r="F16" s="6" t="s">
        <v>10</v>
      </c>
      <c r="G16" s="6" t="s">
        <v>11</v>
      </c>
    </row>
    <row r="17" spans="1:8">
      <c r="A17" t="s">
        <v>40</v>
      </c>
      <c r="B17" t="s">
        <v>41</v>
      </c>
      <c r="C17">
        <v>1</v>
      </c>
      <c r="E17">
        <v>2019</v>
      </c>
      <c r="F17" s="6" t="s">
        <v>10</v>
      </c>
      <c r="G17" s="6" t="s">
        <v>11</v>
      </c>
    </row>
    <row r="18" spans="1:8">
      <c r="A18" t="s">
        <v>42</v>
      </c>
      <c r="B18" t="s">
        <v>43</v>
      </c>
      <c r="C18">
        <v>1</v>
      </c>
      <c r="E18">
        <v>2019</v>
      </c>
      <c r="F18" s="6" t="s">
        <v>10</v>
      </c>
      <c r="G18" s="6" t="s">
        <v>11</v>
      </c>
    </row>
    <row r="19" spans="1:8">
      <c r="A19" t="s">
        <v>44</v>
      </c>
      <c r="B19" t="s">
        <v>45</v>
      </c>
      <c r="C19">
        <v>1</v>
      </c>
      <c r="E19">
        <v>2019</v>
      </c>
      <c r="F19" s="6" t="s">
        <v>10</v>
      </c>
      <c r="G19" s="6" t="s">
        <v>11</v>
      </c>
    </row>
    <row r="21" spans="1:8">
      <c r="A21" t="s">
        <v>46</v>
      </c>
      <c r="B21" t="s">
        <v>47</v>
      </c>
      <c r="C21">
        <v>1</v>
      </c>
      <c r="D21">
        <v>3</v>
      </c>
      <c r="E21" t="s">
        <v>48</v>
      </c>
      <c r="F21" t="s">
        <v>47</v>
      </c>
      <c r="G21" t="s">
        <v>49</v>
      </c>
      <c r="H21" t="s">
        <v>49</v>
      </c>
    </row>
    <row r="24" spans="1:8">
      <c r="A24" t="s">
        <v>50</v>
      </c>
    </row>
    <row r="25" spans="1:8">
      <c r="A25" t="s">
        <v>51</v>
      </c>
      <c r="B25" t="s">
        <v>52</v>
      </c>
      <c r="C25" t="s">
        <v>53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3"/>
  <sheetViews>
    <sheetView tabSelected="1" zoomScale="140" zoomScaleNormal="140" workbookViewId="0">
      <selection activeCell="C1" sqref="C1:C1048576"/>
    </sheetView>
  </sheetViews>
  <sheetFormatPr defaultRowHeight="15"/>
  <cols>
    <col min="1" max="1" width="10.7109375" customWidth="1"/>
    <col min="3" max="3" width="11" customWidth="1"/>
    <col min="4" max="4" width="10" customWidth="1"/>
    <col min="5" max="5" width="6.28515625" customWidth="1"/>
    <col min="6" max="6" width="15.140625" customWidth="1"/>
    <col min="7" max="8" width="14.5703125" customWidth="1"/>
    <col min="9" max="9" width="11" bestFit="1" customWidth="1"/>
    <col min="11" max="11" width="15" customWidth="1"/>
    <col min="29" max="29" width="14.28515625" customWidth="1"/>
    <col min="30" max="30" width="10.42578125" bestFit="1" customWidth="1"/>
  </cols>
  <sheetData>
    <row r="1" spans="1:36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</row>
    <row r="2" spans="1:36">
      <c r="A2" t="s">
        <v>8</v>
      </c>
      <c r="B2" t="s">
        <v>90</v>
      </c>
      <c r="C2" t="s">
        <v>91</v>
      </c>
      <c r="D2" t="s">
        <v>92</v>
      </c>
      <c r="F2" s="5">
        <v>1893072902</v>
      </c>
      <c r="G2" s="5">
        <v>1314030198</v>
      </c>
      <c r="H2" s="5">
        <v>2.2499999999999999E-2</v>
      </c>
      <c r="I2" s="8">
        <v>0.08</v>
      </c>
      <c r="J2" s="8">
        <v>0.03</v>
      </c>
      <c r="K2" s="5">
        <v>188718811</v>
      </c>
      <c r="L2" s="5">
        <v>3674</v>
      </c>
      <c r="M2" s="7">
        <v>125</v>
      </c>
      <c r="N2" s="7">
        <v>788</v>
      </c>
      <c r="O2" s="5">
        <v>49870</v>
      </c>
      <c r="P2" s="5">
        <v>31176</v>
      </c>
      <c r="Q2">
        <v>0.25840000000000002</v>
      </c>
    </row>
    <row r="3" spans="1:36">
      <c r="A3" t="s">
        <v>8</v>
      </c>
      <c r="B3" t="s">
        <v>93</v>
      </c>
      <c r="C3" t="s">
        <v>94</v>
      </c>
      <c r="D3" t="s">
        <v>95</v>
      </c>
      <c r="F3" s="5">
        <v>979792691</v>
      </c>
      <c r="G3" s="5">
        <v>727344000</v>
      </c>
      <c r="H3" s="5">
        <v>2.2499999999999999E-2</v>
      </c>
      <c r="I3" s="8">
        <v>0.08</v>
      </c>
      <c r="J3" s="8">
        <v>0.03</v>
      </c>
      <c r="K3" s="5">
        <v>51938011</v>
      </c>
      <c r="L3" s="5">
        <v>951</v>
      </c>
      <c r="M3" s="7">
        <v>19</v>
      </c>
      <c r="N3" s="7">
        <v>189</v>
      </c>
      <c r="O3" s="5">
        <v>52396</v>
      </c>
      <c r="P3" s="5">
        <v>45874</v>
      </c>
      <c r="Q3">
        <v>0.36159999999999998</v>
      </c>
    </row>
    <row r="4" spans="1:36">
      <c r="A4" t="s">
        <v>8</v>
      </c>
      <c r="B4" t="s">
        <v>96</v>
      </c>
      <c r="C4" t="s">
        <v>97</v>
      </c>
      <c r="D4" t="s">
        <v>98</v>
      </c>
      <c r="F4" s="5">
        <v>1498485371</v>
      </c>
      <c r="G4" s="5">
        <v>1163140000</v>
      </c>
      <c r="H4" s="5"/>
      <c r="I4" s="8">
        <v>0.08</v>
      </c>
      <c r="J4" s="8">
        <v>0.03</v>
      </c>
      <c r="K4" s="5">
        <v>94943480</v>
      </c>
      <c r="L4" s="5">
        <v>1751</v>
      </c>
      <c r="M4" s="7">
        <v>26</v>
      </c>
      <c r="N4" s="7">
        <v>242</v>
      </c>
      <c r="O4" s="5">
        <v>54736</v>
      </c>
      <c r="P4" s="5">
        <v>42641</v>
      </c>
      <c r="Q4">
        <v>0.47420000000000001</v>
      </c>
    </row>
    <row r="5" spans="1:36">
      <c r="A5" t="s">
        <v>12</v>
      </c>
      <c r="B5" s="5" t="s">
        <v>99</v>
      </c>
      <c r="C5" t="s">
        <v>91</v>
      </c>
      <c r="D5" t="s">
        <v>100</v>
      </c>
      <c r="F5" s="5">
        <v>4487900000</v>
      </c>
      <c r="G5" s="5">
        <v>2849000000</v>
      </c>
      <c r="H5" s="5">
        <v>2.5000000000000001E-2</v>
      </c>
      <c r="I5" s="8">
        <v>0.08</v>
      </c>
      <c r="J5" s="8">
        <v>0.03</v>
      </c>
      <c r="K5" s="5">
        <v>707500000</v>
      </c>
      <c r="L5" s="5">
        <v>10149</v>
      </c>
      <c r="M5" s="7">
        <v>1271</v>
      </c>
      <c r="N5" s="7" t="s">
        <v>101</v>
      </c>
      <c r="O5" s="5">
        <v>69715</v>
      </c>
      <c r="P5" s="5">
        <v>31351</v>
      </c>
      <c r="Q5">
        <v>0.2155</v>
      </c>
    </row>
    <row r="6" spans="1:36">
      <c r="A6" t="s">
        <v>14</v>
      </c>
      <c r="B6" s="5" t="s">
        <v>102</v>
      </c>
      <c r="C6" t="s">
        <v>91</v>
      </c>
      <c r="D6" t="s">
        <v>103</v>
      </c>
      <c r="E6">
        <v>2019</v>
      </c>
      <c r="F6" s="5">
        <v>11822396011</v>
      </c>
      <c r="G6" s="5">
        <v>7476797905</v>
      </c>
      <c r="H6" s="5"/>
      <c r="I6">
        <v>7.1499999999999994E-2</v>
      </c>
      <c r="J6">
        <v>3.2500000000000001E-2</v>
      </c>
      <c r="K6" s="5">
        <v>1646906229</v>
      </c>
      <c r="L6" s="5">
        <v>20856</v>
      </c>
      <c r="M6" s="7">
        <v>1147</v>
      </c>
      <c r="N6" s="7">
        <v>2100</v>
      </c>
      <c r="O6" s="5">
        <v>78966</v>
      </c>
      <c r="P6" s="5">
        <v>43374</v>
      </c>
      <c r="Q6" s="10">
        <v>0.12662999999999999</v>
      </c>
      <c r="R6" t="s">
        <v>104</v>
      </c>
      <c r="S6">
        <v>66.540000000000006</v>
      </c>
      <c r="T6">
        <v>0.75</v>
      </c>
      <c r="U6">
        <v>0.04</v>
      </c>
      <c r="X6">
        <v>0.03</v>
      </c>
      <c r="Y6">
        <v>0.03</v>
      </c>
      <c r="Z6">
        <v>0.03</v>
      </c>
      <c r="AA6">
        <v>0.03</v>
      </c>
      <c r="AB6">
        <v>0.03</v>
      </c>
      <c r="AC6">
        <v>6423076283</v>
      </c>
      <c r="AD6">
        <v>195840315</v>
      </c>
      <c r="AF6">
        <v>0.02</v>
      </c>
    </row>
    <row r="7" spans="1:36">
      <c r="A7" t="s">
        <v>16</v>
      </c>
      <c r="B7" s="5" t="s">
        <v>105</v>
      </c>
      <c r="C7" t="s">
        <v>94</v>
      </c>
      <c r="D7" t="s">
        <v>106</v>
      </c>
      <c r="F7" s="5">
        <v>684387000</v>
      </c>
      <c r="G7" s="5">
        <v>566042000</v>
      </c>
      <c r="H7" s="5">
        <v>0.03</v>
      </c>
      <c r="I7" s="8">
        <v>0.08</v>
      </c>
      <c r="J7" s="8">
        <v>0.03</v>
      </c>
      <c r="K7" s="5">
        <v>77041000</v>
      </c>
      <c r="L7" s="5">
        <v>1047</v>
      </c>
      <c r="M7" s="7">
        <v>15</v>
      </c>
      <c r="N7" s="7" t="s">
        <v>101</v>
      </c>
      <c r="O7" s="5">
        <v>73582</v>
      </c>
      <c r="P7" s="5">
        <v>50293</v>
      </c>
      <c r="Q7">
        <v>0.2104</v>
      </c>
    </row>
    <row r="8" spans="1:36">
      <c r="A8" t="s">
        <v>18</v>
      </c>
      <c r="B8" s="5" t="s">
        <v>107</v>
      </c>
      <c r="C8" t="s">
        <v>94</v>
      </c>
      <c r="D8" t="s">
        <v>108</v>
      </c>
      <c r="F8" s="5">
        <v>6256060133</v>
      </c>
      <c r="G8" s="5">
        <v>1137089084</v>
      </c>
      <c r="H8" s="5">
        <v>2.2499999999999999E-2</v>
      </c>
      <c r="I8" s="8">
        <v>0.08</v>
      </c>
      <c r="J8" s="8">
        <v>0.03</v>
      </c>
      <c r="K8" s="5">
        <v>457082316</v>
      </c>
      <c r="L8" s="5">
        <v>4630</v>
      </c>
      <c r="M8" s="7">
        <v>95</v>
      </c>
      <c r="N8" s="7">
        <v>1332</v>
      </c>
      <c r="O8" s="5">
        <v>98722</v>
      </c>
      <c r="P8" s="5">
        <v>66865</v>
      </c>
      <c r="Q8">
        <v>0.37691000000000002</v>
      </c>
    </row>
    <row r="9" spans="1:36">
      <c r="A9" t="s">
        <v>18</v>
      </c>
      <c r="B9" s="5" t="s">
        <v>109</v>
      </c>
      <c r="C9" t="s">
        <v>91</v>
      </c>
      <c r="D9" t="s">
        <v>110</v>
      </c>
      <c r="F9" s="5">
        <v>17260356470</v>
      </c>
      <c r="G9" s="5">
        <v>4012852196</v>
      </c>
      <c r="H9" s="5">
        <v>2.5000000000000001E-2</v>
      </c>
      <c r="I9" s="8">
        <v>0.08</v>
      </c>
      <c r="J9" s="8">
        <v>0.03</v>
      </c>
      <c r="K9" s="5">
        <v>1802790156</v>
      </c>
      <c r="L9" s="5">
        <v>32162</v>
      </c>
      <c r="M9" s="7">
        <v>18734</v>
      </c>
      <c r="N9" s="7">
        <v>3997</v>
      </c>
      <c r="O9" s="5">
        <v>56053</v>
      </c>
      <c r="P9" s="5">
        <v>36211</v>
      </c>
      <c r="Q9">
        <v>0.62839999999999996</v>
      </c>
    </row>
    <row r="10" spans="1:36">
      <c r="A10" t="s">
        <v>18</v>
      </c>
      <c r="B10" s="5" t="s">
        <v>111</v>
      </c>
      <c r="C10" t="s">
        <v>97</v>
      </c>
      <c r="D10" t="s">
        <v>112</v>
      </c>
      <c r="F10" s="5">
        <v>14269769913</v>
      </c>
      <c r="G10" s="5">
        <v>3179502852</v>
      </c>
      <c r="H10" s="5">
        <v>2.2499999999999999E-2</v>
      </c>
      <c r="I10" s="8">
        <v>0.08</v>
      </c>
      <c r="J10" s="8">
        <v>0.03</v>
      </c>
      <c r="K10" s="5">
        <v>1228986864</v>
      </c>
      <c r="L10" s="5">
        <v>13353</v>
      </c>
      <c r="M10" s="7">
        <v>707</v>
      </c>
      <c r="N10" s="7">
        <v>3461</v>
      </c>
      <c r="O10" s="5">
        <v>92038</v>
      </c>
      <c r="P10" s="5">
        <v>68746</v>
      </c>
      <c r="Q10">
        <v>0.64019999999999999</v>
      </c>
    </row>
    <row r="11" spans="1:36">
      <c r="A11" t="s">
        <v>18</v>
      </c>
      <c r="B11" s="5" t="s">
        <v>113</v>
      </c>
      <c r="C11" t="s">
        <v>114</v>
      </c>
      <c r="D11" t="s">
        <v>115</v>
      </c>
      <c r="F11" s="5"/>
      <c r="G11" s="5"/>
      <c r="H11" s="5"/>
      <c r="I11" s="8">
        <v>0.08</v>
      </c>
      <c r="J11" s="8">
        <v>0.03</v>
      </c>
      <c r="K11" s="5"/>
      <c r="L11" s="5"/>
      <c r="M11" s="7">
        <v>9926</v>
      </c>
      <c r="N11" s="7">
        <v>3217</v>
      </c>
      <c r="O11" s="5"/>
      <c r="P11" s="5">
        <v>0</v>
      </c>
      <c r="Q11">
        <v>0.77695000000000003</v>
      </c>
    </row>
    <row r="12" spans="1:36">
      <c r="A12" t="s">
        <v>20</v>
      </c>
      <c r="B12" s="5" t="s">
        <v>116</v>
      </c>
      <c r="C12" t="s">
        <v>91</v>
      </c>
      <c r="D12" t="s">
        <v>117</v>
      </c>
      <c r="F12" s="5">
        <v>4863325000</v>
      </c>
      <c r="G12" s="5">
        <v>3682959000</v>
      </c>
      <c r="H12" s="5">
        <v>2.5000000000000001E-2</v>
      </c>
      <c r="I12" s="8">
        <v>0.08</v>
      </c>
      <c r="J12" s="8">
        <v>0.03</v>
      </c>
      <c r="K12" s="5">
        <v>444737000</v>
      </c>
      <c r="L12" s="5">
        <v>7427</v>
      </c>
      <c r="M12" s="7">
        <v>1666</v>
      </c>
      <c r="N12" s="7" t="s">
        <v>101</v>
      </c>
      <c r="O12" s="5">
        <v>58421</v>
      </c>
      <c r="P12" s="5">
        <v>37543</v>
      </c>
      <c r="Q12">
        <v>0.46710000000000002</v>
      </c>
    </row>
    <row r="13" spans="1:36">
      <c r="A13" t="s">
        <v>20</v>
      </c>
      <c r="B13" s="5" t="s">
        <v>118</v>
      </c>
      <c r="C13" t="s">
        <v>119</v>
      </c>
      <c r="D13" t="s">
        <v>120</v>
      </c>
      <c r="F13" s="5">
        <v>4723972480</v>
      </c>
      <c r="G13" s="5">
        <v>2160125611</v>
      </c>
      <c r="H13" s="5">
        <v>2.5000000000000001E-2</v>
      </c>
      <c r="I13" s="8">
        <v>0.08</v>
      </c>
      <c r="J13" s="8">
        <v>0.03</v>
      </c>
      <c r="K13" s="5">
        <v>396954743</v>
      </c>
      <c r="L13" s="5">
        <v>4738</v>
      </c>
      <c r="M13" s="7">
        <v>242</v>
      </c>
      <c r="N13" s="7">
        <v>1153</v>
      </c>
      <c r="O13" s="5">
        <v>76254</v>
      </c>
      <c r="P13" s="5">
        <v>50161</v>
      </c>
      <c r="Q13">
        <v>0.22059999999999999</v>
      </c>
    </row>
    <row r="14" spans="1:36">
      <c r="A14" t="s">
        <v>22</v>
      </c>
      <c r="B14" s="5" t="s">
        <v>121</v>
      </c>
      <c r="C14" t="s">
        <v>91</v>
      </c>
      <c r="D14" t="s">
        <v>122</v>
      </c>
      <c r="F14" s="5">
        <v>3727787000</v>
      </c>
      <c r="G14" s="5">
        <v>2300324000</v>
      </c>
      <c r="H14" s="5">
        <v>2.5000000000000001E-2</v>
      </c>
      <c r="I14" s="8">
        <v>0.08</v>
      </c>
      <c r="J14" s="8">
        <v>0.03</v>
      </c>
      <c r="K14" s="5">
        <v>732000000</v>
      </c>
      <c r="L14" s="5">
        <v>9401</v>
      </c>
      <c r="M14" s="7">
        <v>3411</v>
      </c>
      <c r="N14" s="7">
        <v>1254</v>
      </c>
      <c r="O14" s="5">
        <v>78453</v>
      </c>
      <c r="P14" s="5">
        <v>21693</v>
      </c>
      <c r="Q14">
        <v>0.2432</v>
      </c>
    </row>
    <row r="15" spans="1:36">
      <c r="A15" t="s">
        <v>26</v>
      </c>
      <c r="B15" s="5" t="s">
        <v>123</v>
      </c>
      <c r="C15" t="s">
        <v>94</v>
      </c>
      <c r="D15" t="s">
        <v>124</v>
      </c>
      <c r="F15" s="5">
        <v>5057759000</v>
      </c>
      <c r="G15" s="5">
        <v>4190934000</v>
      </c>
      <c r="H15" s="5">
        <v>0.03</v>
      </c>
      <c r="I15" s="8">
        <v>0.08</v>
      </c>
      <c r="J15" s="8">
        <v>0.03</v>
      </c>
      <c r="K15" s="5">
        <v>272498000</v>
      </c>
      <c r="L15" s="5">
        <v>3914</v>
      </c>
      <c r="M15" s="7">
        <v>11</v>
      </c>
      <c r="N15" s="7" t="s">
        <v>101</v>
      </c>
      <c r="O15" s="5">
        <v>69621</v>
      </c>
      <c r="P15" s="5">
        <v>51848</v>
      </c>
      <c r="Q15">
        <v>8.2199999999999995E-2</v>
      </c>
    </row>
    <row r="16" spans="1:36">
      <c r="A16" t="s">
        <v>26</v>
      </c>
      <c r="B16" s="5" t="s">
        <v>125</v>
      </c>
      <c r="C16" t="s">
        <v>91</v>
      </c>
      <c r="D16" t="s">
        <v>126</v>
      </c>
      <c r="F16" s="5">
        <v>5091145000</v>
      </c>
      <c r="G16" s="5">
        <v>3019255000</v>
      </c>
      <c r="H16" s="5">
        <v>2.2499999999999999E-2</v>
      </c>
      <c r="I16" s="8">
        <v>0.08</v>
      </c>
      <c r="J16" s="8">
        <v>0.03</v>
      </c>
      <c r="K16" s="5">
        <v>636463000</v>
      </c>
      <c r="L16" s="5">
        <v>11507</v>
      </c>
      <c r="M16" s="7">
        <v>3609</v>
      </c>
      <c r="N16" s="7">
        <v>1968</v>
      </c>
      <c r="O16" s="5">
        <v>55311</v>
      </c>
      <c r="P16" s="5">
        <v>23609</v>
      </c>
      <c r="Q16">
        <v>0.36249999999999999</v>
      </c>
    </row>
    <row r="17" spans="1:36">
      <c r="A17" t="s">
        <v>26</v>
      </c>
      <c r="B17" s="5" t="s">
        <v>127</v>
      </c>
      <c r="C17" t="s">
        <v>97</v>
      </c>
      <c r="D17" t="s">
        <v>128</v>
      </c>
      <c r="F17" s="5">
        <v>6655143000</v>
      </c>
      <c r="G17" s="5">
        <v>5434933000</v>
      </c>
      <c r="H17" s="5">
        <v>2.75E-2</v>
      </c>
      <c r="I17" s="8">
        <v>0.08</v>
      </c>
      <c r="J17" s="8">
        <v>0.03</v>
      </c>
      <c r="K17" s="5">
        <v>454696000</v>
      </c>
      <c r="L17" s="5">
        <v>5282</v>
      </c>
      <c r="M17" s="7">
        <v>43</v>
      </c>
      <c r="N17" s="7">
        <v>807</v>
      </c>
      <c r="O17" s="5">
        <v>86084</v>
      </c>
      <c r="P17" s="5">
        <v>52098</v>
      </c>
      <c r="Q17">
        <v>0.28804000000000002</v>
      </c>
    </row>
    <row r="18" spans="1:36">
      <c r="A18" t="s">
        <v>30</v>
      </c>
      <c r="B18" s="5" t="s">
        <v>129</v>
      </c>
      <c r="C18" t="s">
        <v>91</v>
      </c>
      <c r="D18" t="s">
        <v>130</v>
      </c>
      <c r="F18" s="5">
        <v>20793421143</v>
      </c>
      <c r="G18" s="9">
        <v>14819000000</v>
      </c>
      <c r="H18" s="5">
        <v>0.03</v>
      </c>
      <c r="I18" s="8">
        <v>0.08</v>
      </c>
      <c r="J18" s="8">
        <v>0.03</v>
      </c>
      <c r="K18" s="5">
        <v>2225412831</v>
      </c>
      <c r="L18" s="5">
        <v>26632</v>
      </c>
      <c r="M18" s="7">
        <v>8588</v>
      </c>
      <c r="N18" s="7">
        <v>3981</v>
      </c>
      <c r="O18" s="5">
        <v>83562</v>
      </c>
      <c r="P18" s="5">
        <v>47299</v>
      </c>
      <c r="Q18">
        <v>0.31840000000000002</v>
      </c>
    </row>
    <row r="19" spans="1:36">
      <c r="A19" t="s">
        <v>30</v>
      </c>
      <c r="B19" s="5" t="s">
        <v>131</v>
      </c>
      <c r="C19" t="s">
        <v>119</v>
      </c>
      <c r="D19" t="s">
        <v>132</v>
      </c>
      <c r="F19" s="5">
        <v>22474125000</v>
      </c>
      <c r="G19" s="9">
        <v>21038000000</v>
      </c>
      <c r="H19" s="5">
        <v>0.03</v>
      </c>
      <c r="I19" s="8">
        <v>0.08</v>
      </c>
      <c r="J19" s="8">
        <v>0.03</v>
      </c>
      <c r="K19" s="5">
        <v>1583808000</v>
      </c>
      <c r="L19" s="5">
        <v>13535</v>
      </c>
      <c r="M19" s="7">
        <v>523</v>
      </c>
      <c r="N19" s="7">
        <v>2465</v>
      </c>
      <c r="O19" s="5">
        <v>117016</v>
      </c>
      <c r="P19" s="5">
        <v>73620</v>
      </c>
      <c r="Q19">
        <v>0.15090000000000001</v>
      </c>
    </row>
    <row r="20" spans="1:36">
      <c r="A20" t="s">
        <v>30</v>
      </c>
      <c r="B20" s="5" t="s">
        <v>133</v>
      </c>
      <c r="C20" t="s">
        <v>134</v>
      </c>
      <c r="D20" t="s">
        <v>135</v>
      </c>
      <c r="F20" s="5">
        <v>13811956483</v>
      </c>
      <c r="G20" s="9">
        <v>12739000000</v>
      </c>
      <c r="H20" s="5">
        <v>2.75E-2</v>
      </c>
      <c r="I20" s="8">
        <v>0.08</v>
      </c>
      <c r="J20" s="8">
        <v>0.03</v>
      </c>
      <c r="K20" s="5">
        <v>1141875615</v>
      </c>
      <c r="L20" s="5">
        <v>10362</v>
      </c>
      <c r="M20" s="7">
        <v>1663</v>
      </c>
      <c r="N20" s="7">
        <v>1960</v>
      </c>
      <c r="O20" s="5">
        <v>110198</v>
      </c>
      <c r="P20" s="5">
        <v>63496</v>
      </c>
      <c r="Q20">
        <v>0.25459999999999999</v>
      </c>
    </row>
    <row r="21" spans="1:36">
      <c r="A21" t="s">
        <v>32</v>
      </c>
      <c r="B21" s="5" t="s">
        <v>136</v>
      </c>
      <c r="C21" t="s">
        <v>91</v>
      </c>
      <c r="D21" t="s">
        <v>137</v>
      </c>
      <c r="E21">
        <v>2020</v>
      </c>
      <c r="F21" s="5">
        <v>3368175795</v>
      </c>
      <c r="G21" s="5">
        <v>3203494948</v>
      </c>
      <c r="H21" s="5"/>
      <c r="I21" s="3">
        <v>0.08</v>
      </c>
      <c r="J21" s="3">
        <v>3.8699999999999998E-2</v>
      </c>
      <c r="K21" s="5">
        <v>638020376</v>
      </c>
      <c r="L21" s="5">
        <v>11828</v>
      </c>
      <c r="M21" s="7">
        <v>3450</v>
      </c>
      <c r="N21" s="7" t="s">
        <v>101</v>
      </c>
      <c r="O21" s="5">
        <v>53942</v>
      </c>
      <c r="P21" s="5">
        <v>17974</v>
      </c>
      <c r="Q21" s="10">
        <v>0.37969999999999998</v>
      </c>
      <c r="R21">
        <v>0.481547</v>
      </c>
      <c r="S21">
        <v>65.680000000000007</v>
      </c>
      <c r="T21">
        <v>0.85</v>
      </c>
      <c r="V21" s="3"/>
      <c r="W21" s="3"/>
      <c r="X21" s="3"/>
      <c r="Y21" s="3"/>
      <c r="Z21" s="3"/>
      <c r="AA21" s="3"/>
      <c r="AB21" s="3"/>
      <c r="AC21">
        <v>2017277972</v>
      </c>
      <c r="AE21" s="3"/>
      <c r="AF21">
        <v>2.5000000000000001E-2</v>
      </c>
      <c r="AG21">
        <v>8.7290000000000006E-2</v>
      </c>
      <c r="AH21" s="3"/>
      <c r="AI21" s="3"/>
      <c r="AJ21" s="3"/>
    </row>
    <row r="22" spans="1:36">
      <c r="A22" s="5" t="s">
        <v>138</v>
      </c>
      <c r="B22" s="5" t="s">
        <v>139</v>
      </c>
      <c r="C22" t="s">
        <v>114</v>
      </c>
      <c r="D22" t="s">
        <v>140</v>
      </c>
      <c r="F22" s="5">
        <v>0</v>
      </c>
      <c r="G22" s="5">
        <v>0</v>
      </c>
      <c r="H22" s="5"/>
      <c r="I22" s="8">
        <v>0.08</v>
      </c>
      <c r="J22" s="8">
        <v>0.03</v>
      </c>
      <c r="K22" s="5">
        <v>1264079000</v>
      </c>
      <c r="L22" s="5"/>
      <c r="M22" s="7">
        <v>1934</v>
      </c>
      <c r="N22" s="7">
        <v>768</v>
      </c>
      <c r="O22" s="5">
        <v>0</v>
      </c>
      <c r="P22" s="5">
        <v>0</v>
      </c>
    </row>
    <row r="23" spans="1:36">
      <c r="A23" s="5" t="s">
        <v>138</v>
      </c>
      <c r="B23" s="5" t="s">
        <v>141</v>
      </c>
      <c r="C23" t="s">
        <v>91</v>
      </c>
      <c r="D23" t="s">
        <v>142</v>
      </c>
      <c r="F23" s="5">
        <v>0</v>
      </c>
      <c r="G23" s="5">
        <v>0</v>
      </c>
      <c r="H23" s="5"/>
      <c r="I23" s="8">
        <v>0.08</v>
      </c>
      <c r="J23" s="8">
        <v>0.03</v>
      </c>
      <c r="K23" s="5">
        <v>14459118000</v>
      </c>
      <c r="L23" s="5">
        <v>190572</v>
      </c>
      <c r="M23" s="7">
        <v>21389</v>
      </c>
      <c r="N23" s="7" t="s">
        <v>101</v>
      </c>
      <c r="O23" s="5">
        <v>75872</v>
      </c>
      <c r="P23" s="5">
        <v>29821</v>
      </c>
      <c r="Q23">
        <v>0.15310000000000001</v>
      </c>
    </row>
    <row r="24" spans="1:36">
      <c r="A24" s="5" t="s">
        <v>138</v>
      </c>
      <c r="B24" s="5" t="s">
        <v>143</v>
      </c>
      <c r="C24" t="s">
        <v>94</v>
      </c>
      <c r="D24" t="s">
        <v>144</v>
      </c>
      <c r="F24" s="5">
        <v>0</v>
      </c>
      <c r="G24" s="5">
        <v>0</v>
      </c>
      <c r="H24" s="5"/>
      <c r="I24" s="8">
        <v>0.08</v>
      </c>
      <c r="J24" s="8">
        <v>0.03</v>
      </c>
      <c r="K24" s="5">
        <v>1302872000</v>
      </c>
      <c r="L24" s="5">
        <v>11237</v>
      </c>
      <c r="M24" s="7">
        <v>68</v>
      </c>
      <c r="N24" s="7">
        <v>645</v>
      </c>
      <c r="O24" s="9">
        <v>116000000</v>
      </c>
      <c r="P24" s="5">
        <v>74779</v>
      </c>
    </row>
    <row r="25" spans="1:36">
      <c r="A25" s="5" t="s">
        <v>138</v>
      </c>
      <c r="B25" s="5" t="s">
        <v>145</v>
      </c>
      <c r="C25" t="s">
        <v>97</v>
      </c>
      <c r="D25" t="s">
        <v>146</v>
      </c>
      <c r="F25" s="5">
        <v>0</v>
      </c>
      <c r="G25" s="5">
        <v>0</v>
      </c>
      <c r="H25" s="5"/>
      <c r="I25" s="8">
        <v>0.08</v>
      </c>
      <c r="J25" s="8">
        <v>0.03</v>
      </c>
      <c r="K25" s="5">
        <v>4047772000</v>
      </c>
      <c r="L25" s="5">
        <v>36562</v>
      </c>
      <c r="M25" s="7">
        <v>491</v>
      </c>
      <c r="N25" s="7">
        <v>451</v>
      </c>
      <c r="O25" s="5">
        <v>110858</v>
      </c>
      <c r="P25" s="5">
        <v>51619</v>
      </c>
    </row>
    <row r="26" spans="1:36">
      <c r="A26" s="5" t="s">
        <v>138</v>
      </c>
      <c r="B26" s="5" t="s">
        <v>147</v>
      </c>
      <c r="C26" t="s">
        <v>114</v>
      </c>
      <c r="D26" t="s">
        <v>148</v>
      </c>
      <c r="F26" s="5"/>
      <c r="G26" s="5"/>
      <c r="H26" s="5"/>
      <c r="I26" s="8">
        <v>0.08</v>
      </c>
      <c r="J26" s="8">
        <v>0.03</v>
      </c>
      <c r="K26" s="5"/>
      <c r="L26" s="5"/>
      <c r="M26" s="7">
        <v>13410</v>
      </c>
      <c r="N26" s="7" t="s">
        <v>101</v>
      </c>
      <c r="O26" s="5"/>
      <c r="P26" s="5">
        <v>0</v>
      </c>
    </row>
    <row r="27" spans="1:36">
      <c r="A27" t="s">
        <v>36</v>
      </c>
      <c r="B27" s="5" t="s">
        <v>149</v>
      </c>
      <c r="C27" t="s">
        <v>91</v>
      </c>
      <c r="D27" t="s">
        <v>150</v>
      </c>
      <c r="F27" s="5">
        <v>11783085000</v>
      </c>
      <c r="G27" s="5">
        <v>5852473000</v>
      </c>
      <c r="H27" s="5">
        <v>3.3000000000000002E-2</v>
      </c>
      <c r="I27" s="8">
        <v>0.08</v>
      </c>
      <c r="J27" s="8">
        <v>0.03</v>
      </c>
      <c r="K27" s="5">
        <v>1842554883</v>
      </c>
      <c r="L27" s="5">
        <v>28596</v>
      </c>
      <c r="M27" s="7">
        <v>965</v>
      </c>
      <c r="N27" s="7">
        <v>8574</v>
      </c>
      <c r="O27" s="5">
        <v>64434</v>
      </c>
      <c r="P27" s="5">
        <v>22309</v>
      </c>
    </row>
    <row r="28" spans="1:36">
      <c r="A28" t="s">
        <v>38</v>
      </c>
      <c r="B28" s="5" t="s">
        <v>151</v>
      </c>
      <c r="C28" t="s">
        <v>91</v>
      </c>
      <c r="D28" t="s">
        <v>152</v>
      </c>
      <c r="F28" s="5">
        <v>4401825000</v>
      </c>
      <c r="G28" s="5">
        <v>2677353000</v>
      </c>
      <c r="H28" s="5">
        <v>2.5000000000000001E-2</v>
      </c>
      <c r="I28" s="8">
        <v>0.08</v>
      </c>
      <c r="J28" s="8">
        <v>0.03</v>
      </c>
      <c r="K28" s="5">
        <v>562989000</v>
      </c>
      <c r="L28" s="5">
        <v>7941</v>
      </c>
      <c r="M28" s="7">
        <v>1008</v>
      </c>
      <c r="N28" s="7">
        <v>1110</v>
      </c>
      <c r="O28" s="5">
        <v>70896</v>
      </c>
      <c r="P28" s="5">
        <v>32122</v>
      </c>
      <c r="Q28">
        <v>0.3362</v>
      </c>
    </row>
    <row r="29" spans="1:36">
      <c r="A29" t="s">
        <v>40</v>
      </c>
      <c r="B29" s="5" t="s">
        <v>153</v>
      </c>
      <c r="C29" t="s">
        <v>91</v>
      </c>
      <c r="D29" t="s">
        <v>154</v>
      </c>
      <c r="F29" s="5">
        <v>10602166314</v>
      </c>
      <c r="G29" s="5">
        <v>7595073335</v>
      </c>
      <c r="H29" s="5">
        <v>3.0499999999999999E-2</v>
      </c>
      <c r="I29" s="8">
        <v>0.08</v>
      </c>
      <c r="J29" s="8">
        <v>0.03</v>
      </c>
      <c r="K29" s="5">
        <v>484764465</v>
      </c>
      <c r="L29" s="5">
        <v>5757</v>
      </c>
      <c r="M29" s="7">
        <v>748</v>
      </c>
      <c r="N29" s="7">
        <v>1425</v>
      </c>
      <c r="O29" s="5">
        <v>84204</v>
      </c>
      <c r="P29" s="5">
        <v>50119</v>
      </c>
      <c r="Q29">
        <v>0.8054</v>
      </c>
    </row>
    <row r="30" spans="1:36">
      <c r="A30" t="s">
        <v>44</v>
      </c>
      <c r="B30" s="5" t="s">
        <v>155</v>
      </c>
      <c r="C30" t="s">
        <v>91</v>
      </c>
      <c r="D30" t="s">
        <v>156</v>
      </c>
      <c r="F30" s="5">
        <v>28798581000</v>
      </c>
      <c r="G30" s="9">
        <v>25248000000</v>
      </c>
      <c r="H30" s="5">
        <v>2.75E-2</v>
      </c>
      <c r="I30" s="8">
        <v>0.08</v>
      </c>
      <c r="J30" s="8">
        <v>0.03</v>
      </c>
      <c r="K30" s="5">
        <v>3549936000</v>
      </c>
      <c r="L30" s="5">
        <v>34202</v>
      </c>
      <c r="M30" s="7">
        <v>9955</v>
      </c>
      <c r="N30" s="7">
        <v>4027</v>
      </c>
      <c r="O30" s="5">
        <v>98787</v>
      </c>
      <c r="P30" s="5">
        <v>49173</v>
      </c>
      <c r="Q30">
        <v>0.26900000000000002</v>
      </c>
    </row>
    <row r="31" spans="1:36">
      <c r="A31" t="s">
        <v>42</v>
      </c>
      <c r="B31" s="5" t="s">
        <v>157</v>
      </c>
      <c r="C31" t="s">
        <v>91</v>
      </c>
      <c r="D31" t="s">
        <v>158</v>
      </c>
      <c r="F31" s="5">
        <v>4411100000</v>
      </c>
      <c r="G31" s="5">
        <v>3040700000</v>
      </c>
      <c r="H31" s="5">
        <v>2.75E-2</v>
      </c>
      <c r="I31" s="8">
        <v>0.08</v>
      </c>
      <c r="J31" s="8">
        <v>0.03</v>
      </c>
      <c r="K31" s="5">
        <v>785600000</v>
      </c>
      <c r="L31" s="5">
        <v>9440</v>
      </c>
      <c r="M31" s="7">
        <v>2812</v>
      </c>
      <c r="N31" s="7" t="s">
        <v>101</v>
      </c>
      <c r="O31" s="5">
        <v>86833</v>
      </c>
      <c r="P31" s="5">
        <v>30473</v>
      </c>
      <c r="Q31">
        <v>0.161</v>
      </c>
    </row>
    <row r="32" spans="1:36">
      <c r="G32" s="5"/>
      <c r="H32" s="5"/>
      <c r="M32" s="7"/>
      <c r="N32" s="7"/>
    </row>
    <row r="33" spans="13:14">
      <c r="M33" s="7"/>
      <c r="N33" s="7"/>
    </row>
  </sheetData>
  <autoFilter ref="A1:AJ37" xr:uid="{00000000-0001-0000-0000-000000000000}">
    <sortState xmlns:xlrd2="http://schemas.microsoft.com/office/spreadsheetml/2017/richdata2" ref="A2:AJ37">
      <sortCondition ref="B1:B37"/>
    </sortState>
  </autoFilter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E07D-3C7D-44B7-9395-F631F6FEA230}">
  <dimension ref="A1:AT167"/>
  <sheetViews>
    <sheetView workbookViewId="0">
      <pane ySplit="1" topLeftCell="A2" activePane="bottomLeft" state="frozen"/>
      <selection pane="bottomLeft" activeCell="AN1" sqref="AN1"/>
    </sheetView>
  </sheetViews>
  <sheetFormatPr defaultRowHeight="15"/>
  <cols>
    <col min="2" max="2" width="10.42578125" customWidth="1"/>
  </cols>
  <sheetData>
    <row r="1" spans="1:46">
      <c r="A1" s="5" t="s">
        <v>54</v>
      </c>
      <c r="B1" s="5" t="s">
        <v>159</v>
      </c>
      <c r="C1" s="5" t="s">
        <v>160</v>
      </c>
      <c r="D1" s="5" t="s">
        <v>57</v>
      </c>
      <c r="E1" s="5" t="s">
        <v>161</v>
      </c>
      <c r="F1" s="5" t="s">
        <v>162</v>
      </c>
      <c r="G1" s="5" t="s">
        <v>59</v>
      </c>
      <c r="H1" s="5" t="s">
        <v>60</v>
      </c>
      <c r="I1" s="5" t="s">
        <v>61</v>
      </c>
      <c r="J1" s="5" t="s">
        <v>62</v>
      </c>
      <c r="K1" s="5" t="s">
        <v>63</v>
      </c>
      <c r="L1" s="5" t="s">
        <v>64</v>
      </c>
      <c r="M1" s="5" t="s">
        <v>163</v>
      </c>
      <c r="N1" s="5" t="s">
        <v>66</v>
      </c>
      <c r="O1" s="5" t="s">
        <v>67</v>
      </c>
      <c r="P1" s="5" t="s">
        <v>164</v>
      </c>
      <c r="Q1" s="5" t="s">
        <v>165</v>
      </c>
      <c r="R1" s="5" t="s">
        <v>166</v>
      </c>
      <c r="S1" s="5" t="s">
        <v>71</v>
      </c>
      <c r="T1" s="5" t="s">
        <v>72</v>
      </c>
      <c r="U1" s="5" t="s">
        <v>73</v>
      </c>
      <c r="V1" s="5" t="s">
        <v>74</v>
      </c>
      <c r="W1" s="5" t="s">
        <v>75</v>
      </c>
      <c r="X1" s="5" t="s">
        <v>76</v>
      </c>
      <c r="Y1" s="5" t="s">
        <v>77</v>
      </c>
      <c r="Z1" s="5" t="s">
        <v>78</v>
      </c>
      <c r="AA1" s="5" t="s">
        <v>79</v>
      </c>
      <c r="AB1" s="5" t="s">
        <v>80</v>
      </c>
      <c r="AC1" s="5" t="s">
        <v>81</v>
      </c>
      <c r="AD1" s="5" t="s">
        <v>82</v>
      </c>
      <c r="AE1" s="5" t="s">
        <v>83</v>
      </c>
      <c r="AF1" s="5" t="s">
        <v>84</v>
      </c>
      <c r="AG1" s="5" t="s">
        <v>85</v>
      </c>
      <c r="AH1" s="5" t="s">
        <v>86</v>
      </c>
      <c r="AI1" s="5" t="s">
        <v>87</v>
      </c>
      <c r="AJ1" s="5" t="s">
        <v>88</v>
      </c>
      <c r="AK1" s="5" t="s">
        <v>89</v>
      </c>
      <c r="AL1" s="5" t="s">
        <v>167</v>
      </c>
      <c r="AM1" s="5" t="s">
        <v>168</v>
      </c>
      <c r="AN1" s="5" t="s">
        <v>169</v>
      </c>
      <c r="AO1" s="7" t="s">
        <v>170</v>
      </c>
      <c r="AP1" s="7" t="s">
        <v>171</v>
      </c>
      <c r="AQ1" s="7" t="s">
        <v>172</v>
      </c>
      <c r="AR1" s="7" t="s">
        <v>173</v>
      </c>
      <c r="AS1" s="7" t="s">
        <v>174</v>
      </c>
      <c r="AT1" s="7" t="s">
        <v>175</v>
      </c>
    </row>
    <row r="2" spans="1:46">
      <c r="A2" s="5" t="s">
        <v>176</v>
      </c>
      <c r="B2" s="5" t="s">
        <v>177</v>
      </c>
      <c r="C2" s="5" t="s">
        <v>119</v>
      </c>
      <c r="D2" s="5" t="s">
        <v>178</v>
      </c>
      <c r="E2" s="5">
        <v>2019</v>
      </c>
      <c r="F2" s="5">
        <v>184</v>
      </c>
      <c r="G2" s="5">
        <v>436800</v>
      </c>
      <c r="H2" s="5">
        <v>386600</v>
      </c>
      <c r="I2" s="5">
        <v>0.03</v>
      </c>
      <c r="J2" s="15">
        <v>7.0000000000000007E-2</v>
      </c>
      <c r="K2" s="15">
        <v>0.03</v>
      </c>
      <c r="L2" s="5">
        <v>1374.425</v>
      </c>
      <c r="M2" s="5">
        <v>10</v>
      </c>
      <c r="N2" s="7">
        <v>0</v>
      </c>
      <c r="O2" s="5">
        <v>704</v>
      </c>
      <c r="P2" s="5">
        <v>137.44300000000001</v>
      </c>
      <c r="Q2" s="5">
        <v>46.692</v>
      </c>
      <c r="R2" s="1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>
        <v>0</v>
      </c>
      <c r="AM2" s="5">
        <v>714</v>
      </c>
      <c r="AN2" s="5">
        <v>2</v>
      </c>
      <c r="AO2" s="7">
        <v>484</v>
      </c>
      <c r="AP2" s="7">
        <v>102</v>
      </c>
      <c r="AQ2" s="7">
        <v>101</v>
      </c>
      <c r="AR2" s="7"/>
      <c r="AS2" s="7"/>
      <c r="AT2" s="7"/>
    </row>
    <row r="3" spans="1:46">
      <c r="A3" s="5" t="s">
        <v>176</v>
      </c>
      <c r="B3" s="5" t="s">
        <v>177</v>
      </c>
      <c r="C3" s="5" t="s">
        <v>119</v>
      </c>
      <c r="D3" s="5" t="s">
        <v>179</v>
      </c>
      <c r="E3" s="5">
        <v>2020</v>
      </c>
      <c r="F3" s="5">
        <v>184</v>
      </c>
      <c r="G3" s="15"/>
      <c r="H3" s="15"/>
      <c r="I3" s="15">
        <v>0.03</v>
      </c>
      <c r="J3" s="15">
        <v>7.0000000000000007E-2</v>
      </c>
      <c r="K3" s="15">
        <v>0.03</v>
      </c>
      <c r="L3" s="15"/>
      <c r="M3" s="15"/>
      <c r="N3" s="15"/>
      <c r="O3" s="15"/>
      <c r="P3" s="15"/>
      <c r="Q3" s="15"/>
      <c r="R3" s="1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7">
        <v>778</v>
      </c>
      <c r="AP3" s="7">
        <v>189</v>
      </c>
      <c r="AQ3" s="7"/>
      <c r="AR3" s="7"/>
      <c r="AS3" s="7">
        <v>19</v>
      </c>
      <c r="AT3" s="7"/>
    </row>
    <row r="4" spans="1:46">
      <c r="A4" s="5" t="s">
        <v>8</v>
      </c>
      <c r="B4" s="5" t="s">
        <v>90</v>
      </c>
      <c r="C4" s="5" t="s">
        <v>91</v>
      </c>
      <c r="D4" s="5" t="s">
        <v>92</v>
      </c>
      <c r="E4" s="5">
        <v>2019</v>
      </c>
      <c r="F4" s="5">
        <v>161</v>
      </c>
      <c r="G4" s="5">
        <v>1893073</v>
      </c>
      <c r="H4" s="5">
        <v>1314030</v>
      </c>
      <c r="I4" s="5">
        <v>2.2499999999999999E-2</v>
      </c>
      <c r="J4" s="15">
        <v>7.0000000000000007E-2</v>
      </c>
      <c r="K4" s="15">
        <v>0.03</v>
      </c>
      <c r="L4" s="5">
        <v>188718.8</v>
      </c>
      <c r="M4" s="5">
        <v>3674</v>
      </c>
      <c r="N4" s="7">
        <v>19</v>
      </c>
      <c r="O4" s="5">
        <v>3981</v>
      </c>
      <c r="P4" s="5">
        <v>49.87</v>
      </c>
      <c r="Q4" s="5">
        <v>31.175999999999998</v>
      </c>
      <c r="R4" s="5">
        <v>0.25840000000000002</v>
      </c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>
        <v>0.10050000000000001</v>
      </c>
      <c r="AM4" s="5">
        <v>7021</v>
      </c>
      <c r="AN4" s="5">
        <v>2</v>
      </c>
      <c r="AO4" s="7">
        <v>2967</v>
      </c>
      <c r="AP4" s="7">
        <v>788</v>
      </c>
      <c r="AQ4" s="7"/>
      <c r="AR4" s="7"/>
      <c r="AS4" s="7">
        <v>125</v>
      </c>
      <c r="AT4" s="7">
        <v>759</v>
      </c>
    </row>
    <row r="5" spans="1:46">
      <c r="A5" s="5" t="s">
        <v>8</v>
      </c>
      <c r="B5" s="5" t="s">
        <v>90</v>
      </c>
      <c r="C5" s="5" t="s">
        <v>91</v>
      </c>
      <c r="D5" s="5" t="s">
        <v>180</v>
      </c>
      <c r="E5">
        <v>2020</v>
      </c>
      <c r="F5" s="5">
        <v>161</v>
      </c>
      <c r="G5" s="5">
        <v>1965225</v>
      </c>
      <c r="H5" s="5">
        <v>1336954</v>
      </c>
      <c r="I5" s="5">
        <v>2.2499999999999999E-2</v>
      </c>
      <c r="J5" s="15">
        <v>7.0000000000000007E-2</v>
      </c>
      <c r="K5" s="15">
        <v>0.03</v>
      </c>
      <c r="L5" s="5">
        <v>206005.1</v>
      </c>
      <c r="M5" s="5">
        <v>3936</v>
      </c>
      <c r="N5" s="5">
        <v>27</v>
      </c>
      <c r="O5" s="5">
        <v>3986</v>
      </c>
      <c r="P5" s="5">
        <v>50814</v>
      </c>
      <c r="Q5" s="5">
        <v>32.1</v>
      </c>
      <c r="R5" s="5">
        <v>0.25119999999999998</v>
      </c>
      <c r="AO5" s="7">
        <v>1321</v>
      </c>
      <c r="AP5" s="7">
        <v>242</v>
      </c>
      <c r="AQ5" s="7"/>
      <c r="AR5" s="7"/>
      <c r="AS5" s="7">
        <v>26</v>
      </c>
      <c r="AT5" s="7"/>
    </row>
    <row r="6" spans="1:46">
      <c r="A6" s="5" t="s">
        <v>8</v>
      </c>
      <c r="B6" s="5" t="s">
        <v>93</v>
      </c>
      <c r="C6" s="5" t="s">
        <v>94</v>
      </c>
      <c r="D6" s="5" t="s">
        <v>95</v>
      </c>
      <c r="E6" s="5">
        <v>2019</v>
      </c>
      <c r="F6" s="5">
        <v>205</v>
      </c>
      <c r="G6" s="5">
        <v>979792.7</v>
      </c>
      <c r="H6" s="5">
        <v>727344</v>
      </c>
      <c r="I6" s="5">
        <v>2.2499999999999999E-2</v>
      </c>
      <c r="J6" s="5">
        <v>7.4099999999999999E-2</v>
      </c>
      <c r="K6" s="15">
        <v>0.03</v>
      </c>
      <c r="L6" s="5">
        <v>51938.01</v>
      </c>
      <c r="M6" s="5">
        <v>951</v>
      </c>
      <c r="N6" s="7">
        <v>26</v>
      </c>
      <c r="O6" s="5">
        <v>1086</v>
      </c>
      <c r="P6" s="5">
        <v>52.396000000000001</v>
      </c>
      <c r="Q6" s="5">
        <v>45.874000000000002</v>
      </c>
      <c r="R6" s="5">
        <v>0.47420000000000001</v>
      </c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>
        <v>-7.5700000000000003E-2</v>
      </c>
      <c r="AM6" s="5">
        <v>2056</v>
      </c>
      <c r="AN6" s="5">
        <v>2</v>
      </c>
      <c r="AO6" s="7">
        <v>6592</v>
      </c>
      <c r="AP6" s="7"/>
      <c r="AQ6" s="7"/>
      <c r="AR6" s="7"/>
      <c r="AS6" s="7">
        <v>1271</v>
      </c>
      <c r="AT6" s="7"/>
    </row>
    <row r="7" spans="1:46">
      <c r="A7" s="5" t="s">
        <v>8</v>
      </c>
      <c r="B7" s="5" t="s">
        <v>93</v>
      </c>
      <c r="C7" s="5" t="s">
        <v>97</v>
      </c>
      <c r="D7" s="5" t="s">
        <v>181</v>
      </c>
      <c r="E7">
        <v>2020</v>
      </c>
      <c r="F7" s="5">
        <v>173</v>
      </c>
      <c r="G7" s="5">
        <v>996909.2</v>
      </c>
      <c r="H7" s="5">
        <v>716418</v>
      </c>
      <c r="I7" s="5">
        <v>2.2499999999999999E-2</v>
      </c>
      <c r="J7" s="5">
        <v>7.4099999999999999E-2</v>
      </c>
      <c r="K7" s="15">
        <v>0.03</v>
      </c>
      <c r="L7" s="5">
        <v>51562.2</v>
      </c>
      <c r="M7" s="5">
        <v>888</v>
      </c>
      <c r="N7" s="5">
        <v>940</v>
      </c>
      <c r="O7" s="5">
        <v>1104</v>
      </c>
      <c r="P7" s="5">
        <v>57.85</v>
      </c>
      <c r="Q7" s="5">
        <v>46.811999999999998</v>
      </c>
      <c r="R7" s="5">
        <v>0.53580000000000005</v>
      </c>
      <c r="AO7" s="7">
        <v>6887</v>
      </c>
      <c r="AP7" s="7">
        <v>1503</v>
      </c>
      <c r="AQ7" s="7"/>
      <c r="AR7" s="7"/>
      <c r="AS7" s="7">
        <v>1024</v>
      </c>
      <c r="AT7" s="7"/>
    </row>
    <row r="8" spans="1:46">
      <c r="A8" t="s">
        <v>8</v>
      </c>
      <c r="B8" s="5" t="s">
        <v>93</v>
      </c>
      <c r="C8" t="s">
        <v>94</v>
      </c>
      <c r="D8" t="s">
        <v>182</v>
      </c>
      <c r="E8">
        <v>2018</v>
      </c>
      <c r="F8" s="5">
        <v>4</v>
      </c>
      <c r="G8" s="5">
        <v>852872.8</v>
      </c>
      <c r="H8" s="5">
        <v>718133</v>
      </c>
      <c r="I8" s="5">
        <v>2.2499999999999999E-2</v>
      </c>
      <c r="J8" s="8"/>
      <c r="K8" s="8"/>
      <c r="L8" s="5">
        <v>49085.32</v>
      </c>
      <c r="M8" s="5">
        <v>928</v>
      </c>
      <c r="N8" s="5">
        <v>12</v>
      </c>
      <c r="O8" s="5">
        <v>998</v>
      </c>
      <c r="P8" s="5">
        <v>39.6</v>
      </c>
      <c r="Q8" s="5"/>
      <c r="R8" s="5">
        <v>0.31830000000000003</v>
      </c>
      <c r="AH8" s="5">
        <v>0.243029</v>
      </c>
      <c r="AO8" s="7">
        <v>3860</v>
      </c>
      <c r="AP8" s="7">
        <v>1523</v>
      </c>
      <c r="AQ8" s="7"/>
      <c r="AR8" s="7"/>
      <c r="AS8" s="7"/>
      <c r="AT8" s="7"/>
    </row>
    <row r="9" spans="1:46">
      <c r="A9" s="5" t="s">
        <v>8</v>
      </c>
      <c r="B9" s="5" t="s">
        <v>96</v>
      </c>
      <c r="C9" s="5" t="s">
        <v>97</v>
      </c>
      <c r="D9" s="5" t="s">
        <v>98</v>
      </c>
      <c r="E9" s="5">
        <v>2019</v>
      </c>
      <c r="F9" s="5">
        <v>173</v>
      </c>
      <c r="G9" s="5">
        <v>1498485</v>
      </c>
      <c r="H9" s="5">
        <v>1163140</v>
      </c>
      <c r="I9" s="15">
        <v>2.5000000000000001E-2</v>
      </c>
      <c r="J9" s="5">
        <v>7.4099999999999999E-2</v>
      </c>
      <c r="K9" s="15">
        <v>0.03</v>
      </c>
      <c r="L9" s="5">
        <v>94943.48</v>
      </c>
      <c r="M9" s="5">
        <v>1751</v>
      </c>
      <c r="N9" s="7">
        <v>884</v>
      </c>
      <c r="O9" s="5">
        <v>1662</v>
      </c>
      <c r="P9" s="5">
        <v>54.735999999999997</v>
      </c>
      <c r="Q9" s="5">
        <v>42.640999999999998</v>
      </c>
      <c r="R9" s="5">
        <v>0.36159999999999998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>
        <v>0.10138</v>
      </c>
      <c r="AM9" s="5">
        <v>3439</v>
      </c>
      <c r="AN9" s="5">
        <v>2</v>
      </c>
      <c r="AO9" s="7">
        <v>2568</v>
      </c>
      <c r="AP9" s="7">
        <v>710</v>
      </c>
      <c r="AQ9" s="7"/>
      <c r="AR9" s="7">
        <v>340</v>
      </c>
      <c r="AS9" s="7">
        <v>15</v>
      </c>
      <c r="AT9" s="7"/>
    </row>
    <row r="10" spans="1:46">
      <c r="A10" s="5" t="s">
        <v>8</v>
      </c>
      <c r="B10" s="5" t="s">
        <v>96</v>
      </c>
      <c r="C10" s="5" t="s">
        <v>94</v>
      </c>
      <c r="D10" s="5" t="s">
        <v>183</v>
      </c>
      <c r="E10">
        <v>2020</v>
      </c>
      <c r="F10" s="5">
        <v>205</v>
      </c>
      <c r="G10" s="5">
        <v>1546121</v>
      </c>
      <c r="H10" s="5">
        <v>1150481</v>
      </c>
      <c r="I10" s="5">
        <v>2.2499999999999999E-2</v>
      </c>
      <c r="J10" s="5">
        <v>7.4099999999999999E-2</v>
      </c>
      <c r="K10" s="15">
        <v>0.03</v>
      </c>
      <c r="L10" s="5">
        <v>102498.5</v>
      </c>
      <c r="M10" s="5">
        <v>1678</v>
      </c>
      <c r="N10" s="5">
        <v>35</v>
      </c>
      <c r="O10" s="5">
        <v>1689</v>
      </c>
      <c r="P10" s="5">
        <v>61.77</v>
      </c>
      <c r="Q10" s="5">
        <v>43.697000000000003</v>
      </c>
      <c r="R10" s="5">
        <v>0.3931</v>
      </c>
      <c r="AO10" s="7">
        <v>2313</v>
      </c>
      <c r="AP10" s="7">
        <v>585</v>
      </c>
      <c r="AQ10" s="7"/>
      <c r="AR10" s="7"/>
      <c r="AS10" s="7">
        <v>378</v>
      </c>
      <c r="AT10" s="7">
        <v>246</v>
      </c>
    </row>
    <row r="11" spans="1:46">
      <c r="A11" s="5" t="s">
        <v>12</v>
      </c>
      <c r="B11" s="5" t="s">
        <v>99</v>
      </c>
      <c r="C11" s="5" t="s">
        <v>91</v>
      </c>
      <c r="D11" s="5" t="s">
        <v>100</v>
      </c>
      <c r="E11" s="5">
        <v>2019</v>
      </c>
      <c r="F11" s="5">
        <v>12</v>
      </c>
      <c r="G11" s="5">
        <v>4487900</v>
      </c>
      <c r="H11" s="5">
        <v>2849000</v>
      </c>
      <c r="I11" s="5">
        <v>2.5000000000000001E-2</v>
      </c>
      <c r="J11" s="5">
        <v>7.0000000000000007E-2</v>
      </c>
      <c r="K11" s="15">
        <v>0.03</v>
      </c>
      <c r="L11" s="5">
        <v>707500</v>
      </c>
      <c r="M11" s="5">
        <v>10149</v>
      </c>
      <c r="N11" s="7">
        <v>1271</v>
      </c>
      <c r="O11" s="5">
        <v>6703</v>
      </c>
      <c r="P11" s="5">
        <v>69.715000000000003</v>
      </c>
      <c r="Q11" s="5">
        <v>31.350999999999999</v>
      </c>
      <c r="R11" s="5">
        <v>0.2155</v>
      </c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>
        <v>0.08</v>
      </c>
      <c r="AM11" s="5">
        <v>18123</v>
      </c>
      <c r="AN11" s="5">
        <v>2</v>
      </c>
      <c r="AO11" s="7">
        <v>241</v>
      </c>
      <c r="AP11" s="7"/>
      <c r="AQ11" s="7"/>
      <c r="AR11" s="7"/>
      <c r="AS11" s="7">
        <v>67</v>
      </c>
      <c r="AT11" s="7"/>
    </row>
    <row r="12" spans="1:46">
      <c r="A12" s="5" t="s">
        <v>12</v>
      </c>
      <c r="B12" s="5" t="s">
        <v>99</v>
      </c>
      <c r="C12" s="5" t="s">
        <v>91</v>
      </c>
      <c r="D12" s="5" t="s">
        <v>184</v>
      </c>
      <c r="E12">
        <v>2020</v>
      </c>
      <c r="F12" s="5">
        <v>12</v>
      </c>
      <c r="G12" s="5">
        <v>4701200</v>
      </c>
      <c r="H12" s="5">
        <v>3069200</v>
      </c>
      <c r="I12" s="5">
        <v>2.5000000000000001E-2</v>
      </c>
      <c r="J12" s="5">
        <v>7.0000000000000007E-2</v>
      </c>
      <c r="K12" s="15">
        <v>0.03</v>
      </c>
      <c r="L12" s="5">
        <v>729300</v>
      </c>
      <c r="M12" s="5">
        <v>10138</v>
      </c>
      <c r="N12" s="5">
        <v>1264</v>
      </c>
      <c r="O12" s="5">
        <v>6963</v>
      </c>
      <c r="P12" s="5">
        <v>71.933000000000007</v>
      </c>
      <c r="Q12" s="5">
        <v>32.061999999999998</v>
      </c>
      <c r="R12" s="5">
        <v>0.2102</v>
      </c>
      <c r="AO12" s="7">
        <v>10729</v>
      </c>
      <c r="AP12" s="7">
        <v>2100</v>
      </c>
      <c r="AQ12" s="7"/>
      <c r="AR12" s="7"/>
      <c r="AS12" s="7">
        <v>1147</v>
      </c>
      <c r="AT12" s="7">
        <v>11531</v>
      </c>
    </row>
    <row r="13" spans="1:46">
      <c r="A13" t="s">
        <v>12</v>
      </c>
      <c r="B13" s="5" t="s">
        <v>185</v>
      </c>
      <c r="C13" t="s">
        <v>94</v>
      </c>
      <c r="D13" t="s">
        <v>186</v>
      </c>
      <c r="E13">
        <v>2018</v>
      </c>
      <c r="F13" s="5">
        <v>6</v>
      </c>
      <c r="G13" s="5">
        <v>1084534</v>
      </c>
      <c r="H13" s="5">
        <v>954574.8</v>
      </c>
      <c r="I13" s="5">
        <v>2.75E-2</v>
      </c>
      <c r="J13" s="8"/>
      <c r="K13" s="8"/>
      <c r="L13" s="5">
        <v>92083.22</v>
      </c>
      <c r="M13" s="5">
        <v>1102</v>
      </c>
      <c r="N13" s="5">
        <v>8</v>
      </c>
      <c r="O13" s="5">
        <v>822</v>
      </c>
      <c r="P13" s="5">
        <v>41.9</v>
      </c>
      <c r="Q13" s="5"/>
      <c r="R13" s="5">
        <v>0.2205</v>
      </c>
      <c r="AH13" s="5">
        <v>0.29520000000000002</v>
      </c>
      <c r="AO13" s="7"/>
      <c r="AP13" s="7"/>
      <c r="AQ13" s="7"/>
      <c r="AR13" s="7"/>
      <c r="AS13" s="7">
        <v>375</v>
      </c>
      <c r="AT13" s="7"/>
    </row>
    <row r="14" spans="1:46">
      <c r="A14" t="s">
        <v>12</v>
      </c>
      <c r="B14" s="5" t="s">
        <v>187</v>
      </c>
      <c r="C14" t="s">
        <v>97</v>
      </c>
      <c r="D14" t="s">
        <v>188</v>
      </c>
      <c r="E14">
        <v>2018</v>
      </c>
      <c r="F14" s="5">
        <v>7</v>
      </c>
      <c r="G14" s="5">
        <v>1185017</v>
      </c>
      <c r="H14" s="5">
        <v>779484.3</v>
      </c>
      <c r="I14" s="15"/>
      <c r="J14" s="8"/>
      <c r="K14" s="8"/>
      <c r="L14" s="5">
        <v>162490.6</v>
      </c>
      <c r="M14" s="5">
        <v>1892</v>
      </c>
      <c r="N14" s="5">
        <v>39</v>
      </c>
      <c r="O14" s="5">
        <v>906</v>
      </c>
      <c r="P14" s="5">
        <v>40.5</v>
      </c>
      <c r="Q14" s="5">
        <v>63.5</v>
      </c>
      <c r="R14" s="5">
        <v>0.21312999999999999</v>
      </c>
      <c r="AH14" s="5">
        <v>0.22291</v>
      </c>
      <c r="AO14" s="7">
        <v>151</v>
      </c>
      <c r="AP14" s="7">
        <v>49</v>
      </c>
      <c r="AQ14" s="7">
        <v>49</v>
      </c>
      <c r="AR14" s="7">
        <v>1</v>
      </c>
      <c r="AS14" s="7">
        <v>3</v>
      </c>
      <c r="AT14" s="7"/>
    </row>
    <row r="15" spans="1:46">
      <c r="A15" s="5" t="s">
        <v>189</v>
      </c>
      <c r="B15" s="5" t="s">
        <v>190</v>
      </c>
      <c r="C15" s="5" t="s">
        <v>91</v>
      </c>
      <c r="D15" s="5" t="s">
        <v>191</v>
      </c>
      <c r="E15" s="5">
        <v>2019</v>
      </c>
      <c r="F15" s="5">
        <v>213</v>
      </c>
      <c r="G15" s="5">
        <v>2515137</v>
      </c>
      <c r="H15" s="5">
        <v>1835157</v>
      </c>
      <c r="I15" s="5">
        <v>2.5499999999999998E-2</v>
      </c>
      <c r="J15" s="5">
        <v>6.7199999999999996E-2</v>
      </c>
      <c r="K15" s="15">
        <v>0.03</v>
      </c>
      <c r="L15" s="5">
        <v>419686</v>
      </c>
      <c r="M15" s="5">
        <v>8204</v>
      </c>
      <c r="N15" s="7">
        <v>0</v>
      </c>
      <c r="O15" s="5">
        <v>9267</v>
      </c>
      <c r="P15" s="5">
        <v>51.155999999999999</v>
      </c>
      <c r="Q15" s="5">
        <v>16.751000000000001</v>
      </c>
      <c r="R15" s="5">
        <v>0.22070000000000001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>
        <v>4.2599999999999999E-2</v>
      </c>
      <c r="AM15" s="5">
        <v>18495</v>
      </c>
      <c r="AN15" s="5">
        <v>2</v>
      </c>
      <c r="AO15" s="7"/>
      <c r="AP15" s="7"/>
      <c r="AQ15" s="7"/>
      <c r="AR15" s="7"/>
      <c r="AS15" s="7">
        <v>15</v>
      </c>
      <c r="AT15" s="7"/>
    </row>
    <row r="16" spans="1:46">
      <c r="A16" s="5" t="s">
        <v>189</v>
      </c>
      <c r="B16" s="5" t="s">
        <v>190</v>
      </c>
      <c r="C16" s="5" t="s">
        <v>91</v>
      </c>
      <c r="D16" s="5" t="s">
        <v>192</v>
      </c>
      <c r="E16">
        <v>2020</v>
      </c>
      <c r="F16" s="5">
        <v>213</v>
      </c>
      <c r="G16" s="5">
        <v>2567399</v>
      </c>
      <c r="H16" s="5">
        <v>1881338</v>
      </c>
      <c r="I16" s="5">
        <v>2.5499999999999998E-2</v>
      </c>
      <c r="J16" s="5">
        <v>7.0000000000000007E-2</v>
      </c>
      <c r="K16" s="15">
        <v>0.03</v>
      </c>
      <c r="L16" s="5">
        <v>437242.4</v>
      </c>
      <c r="M16" s="5">
        <v>8204</v>
      </c>
      <c r="N16" s="5">
        <v>1044</v>
      </c>
      <c r="O16" s="5">
        <v>9262</v>
      </c>
      <c r="P16" s="5">
        <v>53.295999999999999</v>
      </c>
      <c r="Q16" s="5">
        <v>17.271999999999998</v>
      </c>
      <c r="R16" s="5">
        <v>0.22559999999999999</v>
      </c>
      <c r="AO16" s="7">
        <v>3537</v>
      </c>
      <c r="AP16" s="7">
        <v>1332</v>
      </c>
      <c r="AQ16" s="7"/>
      <c r="AR16" s="7"/>
      <c r="AS16" s="7">
        <v>95</v>
      </c>
      <c r="AT16" s="7"/>
    </row>
    <row r="17" spans="1:46">
      <c r="A17" s="5" t="s">
        <v>189</v>
      </c>
      <c r="B17" s="5" t="s">
        <v>193</v>
      </c>
      <c r="C17" s="5" t="s">
        <v>119</v>
      </c>
      <c r="D17" s="5" t="s">
        <v>194</v>
      </c>
      <c r="E17" s="5">
        <v>2019</v>
      </c>
      <c r="F17" s="5">
        <v>155</v>
      </c>
      <c r="G17" s="5">
        <v>3966401</v>
      </c>
      <c r="H17" s="5">
        <v>2767719</v>
      </c>
      <c r="I17" s="5">
        <v>2.75E-2</v>
      </c>
      <c r="J17" s="5">
        <v>7.2499999999999995E-2</v>
      </c>
      <c r="K17" s="15">
        <v>0.03</v>
      </c>
      <c r="L17" s="5">
        <v>322382.2</v>
      </c>
      <c r="M17" s="5">
        <v>3983</v>
      </c>
      <c r="N17" s="7">
        <v>1024</v>
      </c>
      <c r="O17" s="5">
        <v>6334</v>
      </c>
      <c r="P17" s="5">
        <v>77.486999999999995</v>
      </c>
      <c r="Q17" s="5">
        <v>37.439</v>
      </c>
      <c r="R17" s="5">
        <v>0.43837999999999999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>
        <v>0.1</v>
      </c>
      <c r="AM17" s="5">
        <v>10317</v>
      </c>
      <c r="AN17" s="5">
        <v>2</v>
      </c>
      <c r="AO17" s="7">
        <v>21423</v>
      </c>
      <c r="AP17" s="7">
        <v>3997</v>
      </c>
      <c r="AQ17" s="7">
        <v>3897</v>
      </c>
      <c r="AR17" s="7">
        <v>124</v>
      </c>
      <c r="AS17" s="7">
        <v>18734</v>
      </c>
      <c r="AT17" s="7"/>
    </row>
    <row r="18" spans="1:46">
      <c r="A18" s="5" t="s">
        <v>189</v>
      </c>
      <c r="B18" s="5" t="s">
        <v>193</v>
      </c>
      <c r="C18" s="5" t="s">
        <v>119</v>
      </c>
      <c r="D18" s="5" t="s">
        <v>195</v>
      </c>
      <c r="E18">
        <v>2020</v>
      </c>
      <c r="F18" s="5">
        <v>155</v>
      </c>
      <c r="G18" s="5">
        <v>4069217</v>
      </c>
      <c r="H18" s="5">
        <v>2811813</v>
      </c>
      <c r="I18" s="5">
        <v>2.75E-2</v>
      </c>
      <c r="J18" s="15">
        <v>7.0000000000000007E-2</v>
      </c>
      <c r="K18" s="15">
        <v>0.03</v>
      </c>
      <c r="L18" s="5">
        <v>326639.90000000002</v>
      </c>
      <c r="M18" s="5">
        <v>3927</v>
      </c>
      <c r="N18" s="5">
        <v>0</v>
      </c>
      <c r="O18" s="5">
        <v>6351</v>
      </c>
      <c r="P18" s="5">
        <v>79.516000000000005</v>
      </c>
      <c r="Q18" s="5">
        <v>38.453000000000003</v>
      </c>
      <c r="R18" s="5"/>
      <c r="AO18" s="7">
        <v>10078</v>
      </c>
      <c r="AP18" s="7">
        <v>3461</v>
      </c>
      <c r="AQ18" s="7">
        <v>3135</v>
      </c>
      <c r="AR18" s="7"/>
      <c r="AS18" s="7">
        <v>707</v>
      </c>
      <c r="AT18" s="7"/>
    </row>
    <row r="19" spans="1:46">
      <c r="A19" s="5" t="s">
        <v>196</v>
      </c>
      <c r="B19" s="5" t="s">
        <v>197</v>
      </c>
      <c r="C19" s="5" t="s">
        <v>91</v>
      </c>
      <c r="D19" s="5" t="s">
        <v>198</v>
      </c>
      <c r="E19" s="5">
        <v>2019</v>
      </c>
      <c r="F19" s="5">
        <v>163</v>
      </c>
      <c r="G19" s="5">
        <v>1838970</v>
      </c>
      <c r="H19" s="5">
        <v>1201491</v>
      </c>
      <c r="I19" s="5">
        <v>2.2499999999999999E-2</v>
      </c>
      <c r="J19" s="5">
        <v>7.0000000000000007E-2</v>
      </c>
      <c r="K19" s="15">
        <v>0.03</v>
      </c>
      <c r="L19" s="5">
        <v>147942.20000000001</v>
      </c>
      <c r="M19" s="5">
        <v>2934</v>
      </c>
      <c r="N19" s="7">
        <v>15</v>
      </c>
      <c r="O19" s="5">
        <v>3817</v>
      </c>
      <c r="P19" s="5">
        <v>50.423000000000002</v>
      </c>
      <c r="Q19" s="5">
        <v>26.943999999999999</v>
      </c>
      <c r="R19" s="5">
        <v>0.36</v>
      </c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>
        <v>9.5000000000000001E-2</v>
      </c>
      <c r="AM19" s="5">
        <v>6766</v>
      </c>
      <c r="AN19" s="5">
        <v>2</v>
      </c>
      <c r="AO19" s="7">
        <v>24631</v>
      </c>
      <c r="AP19" s="7">
        <v>3217</v>
      </c>
      <c r="AQ19" s="7"/>
      <c r="AR19" s="7"/>
      <c r="AS19" s="7">
        <v>9926</v>
      </c>
      <c r="AT19" s="7">
        <v>20621</v>
      </c>
    </row>
    <row r="20" spans="1:46">
      <c r="A20" s="5" t="s">
        <v>196</v>
      </c>
      <c r="B20" s="5" t="s">
        <v>197</v>
      </c>
      <c r="C20" s="5" t="s">
        <v>91</v>
      </c>
      <c r="D20" s="5" t="s">
        <v>199</v>
      </c>
      <c r="E20">
        <v>2020</v>
      </c>
      <c r="F20" s="5">
        <v>163</v>
      </c>
      <c r="G20" s="5">
        <v>1885381</v>
      </c>
      <c r="H20" s="5">
        <v>1236056</v>
      </c>
      <c r="I20" s="5">
        <v>2.2499999999999999E-2</v>
      </c>
      <c r="J20" s="5">
        <v>7.0000000000000007E-2</v>
      </c>
      <c r="K20" s="15">
        <v>0.03</v>
      </c>
      <c r="L20" s="5">
        <v>151243</v>
      </c>
      <c r="M20" s="5">
        <v>2889</v>
      </c>
      <c r="N20" s="5">
        <v>12</v>
      </c>
      <c r="O20" s="5">
        <v>3828</v>
      </c>
      <c r="P20" s="5">
        <v>52.350999999999999</v>
      </c>
      <c r="Q20" s="5">
        <v>29.292999999999999</v>
      </c>
      <c r="R20" s="5">
        <v>0.36499999999999999</v>
      </c>
      <c r="AO20" s="7">
        <v>3416</v>
      </c>
      <c r="AP20" s="7">
        <v>627</v>
      </c>
      <c r="AQ20" s="7"/>
      <c r="AR20" s="7"/>
      <c r="AS20" s="7">
        <v>212</v>
      </c>
      <c r="AT20" s="7"/>
    </row>
    <row r="21" spans="1:46">
      <c r="A21" s="5" t="s">
        <v>200</v>
      </c>
      <c r="B21" s="5" t="s">
        <v>201</v>
      </c>
      <c r="C21" s="5" t="s">
        <v>91</v>
      </c>
      <c r="D21" s="5" t="s">
        <v>202</v>
      </c>
      <c r="E21" s="5">
        <v>2019</v>
      </c>
      <c r="F21" s="5">
        <v>171</v>
      </c>
      <c r="G21" s="5">
        <v>1501381</v>
      </c>
      <c r="H21" s="5">
        <v>1063878</v>
      </c>
      <c r="I21" s="5">
        <v>2.5000000000000001E-2</v>
      </c>
      <c r="J21" s="5">
        <v>4.9700000000000001E-2</v>
      </c>
      <c r="K21" s="15">
        <v>0.03</v>
      </c>
      <c r="L21" s="5">
        <v>200234.2</v>
      </c>
      <c r="M21" s="5">
        <v>3659</v>
      </c>
      <c r="N21" s="7">
        <v>624</v>
      </c>
      <c r="O21" s="5">
        <v>3355</v>
      </c>
      <c r="P21" s="5">
        <v>54.058999999999997</v>
      </c>
      <c r="Q21" s="5">
        <v>27.047999999999998</v>
      </c>
      <c r="R21" s="5">
        <v>0.16059999999999999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>
        <v>7.0000000000000007E-2</v>
      </c>
      <c r="AM21" s="5">
        <v>7392</v>
      </c>
      <c r="AN21" s="5">
        <v>2</v>
      </c>
      <c r="AO21" s="7">
        <v>1684</v>
      </c>
      <c r="AP21" s="7">
        <v>267</v>
      </c>
      <c r="AQ21" s="7"/>
      <c r="AR21" s="7">
        <v>122</v>
      </c>
      <c r="AS21" s="7">
        <v>22</v>
      </c>
      <c r="AT21" s="7">
        <v>106</v>
      </c>
    </row>
    <row r="22" spans="1:46">
      <c r="A22" s="5" t="s">
        <v>200</v>
      </c>
      <c r="B22" s="5" t="s">
        <v>201</v>
      </c>
      <c r="C22" s="5" t="s">
        <v>91</v>
      </c>
      <c r="D22" s="5" t="s">
        <v>203</v>
      </c>
      <c r="E22">
        <v>2020</v>
      </c>
      <c r="F22" s="5">
        <v>171</v>
      </c>
      <c r="G22" s="5">
        <v>1539302</v>
      </c>
      <c r="H22" s="5">
        <v>1057533</v>
      </c>
      <c r="I22" s="5">
        <v>2.5000000000000001E-2</v>
      </c>
      <c r="J22" s="5">
        <v>4.1200000000000001E-2</v>
      </c>
      <c r="K22" s="15">
        <v>0.03</v>
      </c>
      <c r="L22" s="5">
        <v>202026.5</v>
      </c>
      <c r="M22" s="5">
        <v>3624</v>
      </c>
      <c r="N22" s="5">
        <v>712</v>
      </c>
      <c r="O22" s="5">
        <v>3426</v>
      </c>
      <c r="P22" s="5">
        <v>54.72</v>
      </c>
      <c r="Q22" s="5">
        <v>27.527999999999999</v>
      </c>
      <c r="R22" s="5">
        <v>0.16489999999999999</v>
      </c>
      <c r="AO22" s="7">
        <v>7405</v>
      </c>
      <c r="AP22" s="7"/>
      <c r="AQ22" s="7"/>
      <c r="AR22" s="7"/>
      <c r="AS22" s="7">
        <v>1666</v>
      </c>
      <c r="AT22" s="7"/>
    </row>
    <row r="23" spans="1:46">
      <c r="A23" s="5" t="s">
        <v>204</v>
      </c>
      <c r="B23" s="5" t="s">
        <v>205</v>
      </c>
      <c r="C23" s="5" t="s">
        <v>91</v>
      </c>
      <c r="D23" s="5" t="s">
        <v>206</v>
      </c>
      <c r="E23" s="5">
        <v>2019</v>
      </c>
      <c r="F23" s="5">
        <v>192</v>
      </c>
      <c r="G23" s="5">
        <v>118862</v>
      </c>
      <c r="H23" s="5">
        <v>108921.1</v>
      </c>
      <c r="I23" s="5">
        <v>0.03</v>
      </c>
      <c r="J23" s="5">
        <v>7.4999999999999997E-2</v>
      </c>
      <c r="K23" s="15">
        <v>0.03</v>
      </c>
      <c r="L23" s="5">
        <v>28170.78</v>
      </c>
      <c r="M23" s="5">
        <v>471</v>
      </c>
      <c r="N23" s="7">
        <v>67</v>
      </c>
      <c r="O23" s="5">
        <v>241</v>
      </c>
      <c r="P23" s="5">
        <v>57.210999999999999</v>
      </c>
      <c r="Q23" s="5">
        <v>23.591999999999999</v>
      </c>
      <c r="R23" s="5">
        <v>0.108</v>
      </c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>
        <v>0.05</v>
      </c>
      <c r="AM23" s="5">
        <v>779</v>
      </c>
      <c r="AN23" s="5">
        <v>2</v>
      </c>
      <c r="AO23" s="7">
        <v>3676</v>
      </c>
      <c r="AP23" s="7">
        <v>1153</v>
      </c>
      <c r="AQ23" s="7"/>
      <c r="AR23" s="7">
        <v>83</v>
      </c>
      <c r="AS23" s="7">
        <v>242</v>
      </c>
      <c r="AT23" s="7">
        <v>434</v>
      </c>
    </row>
    <row r="24" spans="1:46">
      <c r="A24" s="5" t="s">
        <v>204</v>
      </c>
      <c r="B24" s="5" t="s">
        <v>205</v>
      </c>
      <c r="C24" s="5" t="s">
        <v>91</v>
      </c>
      <c r="D24" s="5" t="s">
        <v>207</v>
      </c>
      <c r="E24">
        <v>2020</v>
      </c>
      <c r="F24" s="5">
        <v>192</v>
      </c>
      <c r="G24" s="5">
        <v>124726.1</v>
      </c>
      <c r="H24" s="5">
        <v>118296.2</v>
      </c>
      <c r="I24" s="5">
        <v>0.03</v>
      </c>
      <c r="J24" s="5">
        <v>7.4999999999999997E-2</v>
      </c>
      <c r="K24" s="15">
        <v>0.03</v>
      </c>
      <c r="L24" s="5">
        <v>28310.58</v>
      </c>
      <c r="M24" s="5">
        <v>469</v>
      </c>
      <c r="N24" s="5">
        <v>69</v>
      </c>
      <c r="O24" s="5">
        <v>253</v>
      </c>
      <c r="P24" s="5">
        <v>58.463999999999999</v>
      </c>
      <c r="Q24" s="5">
        <v>24.504000000000001</v>
      </c>
      <c r="R24" s="5">
        <v>8.8999999999999996E-2</v>
      </c>
      <c r="AO24" s="7">
        <v>8614</v>
      </c>
      <c r="AP24" s="7">
        <v>1254</v>
      </c>
      <c r="AQ24" s="7"/>
      <c r="AR24" s="7"/>
      <c r="AS24" s="7">
        <v>3411</v>
      </c>
      <c r="AT24" s="7">
        <v>2913</v>
      </c>
    </row>
    <row r="25" spans="1:46">
      <c r="A25" s="5" t="s">
        <v>14</v>
      </c>
      <c r="B25" s="5" t="s">
        <v>102</v>
      </c>
      <c r="C25" s="5" t="s">
        <v>91</v>
      </c>
      <c r="D25" s="5" t="s">
        <v>103</v>
      </c>
      <c r="E25" s="5">
        <v>2019</v>
      </c>
      <c r="F25" s="5">
        <v>148</v>
      </c>
      <c r="G25" s="5">
        <v>11822396</v>
      </c>
      <c r="H25" s="5">
        <v>7476798</v>
      </c>
      <c r="I25" s="15">
        <v>2.5000000000000001E-2</v>
      </c>
      <c r="J25" s="5">
        <v>7.0499999999999993E-2</v>
      </c>
      <c r="K25">
        <v>3.2500000000000001E-2</v>
      </c>
      <c r="L25" s="5">
        <v>1646906</v>
      </c>
      <c r="M25" s="5">
        <v>20856</v>
      </c>
      <c r="N25" s="7">
        <v>12678</v>
      </c>
      <c r="O25" s="5">
        <v>14559</v>
      </c>
      <c r="P25" s="5">
        <v>78.965999999999994</v>
      </c>
      <c r="Q25" s="5">
        <v>43.374000000000002</v>
      </c>
      <c r="R25" s="5">
        <v>0.12662999999999999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>
        <v>0.14817</v>
      </c>
      <c r="AM25" s="5">
        <v>36562</v>
      </c>
      <c r="AN25" s="5">
        <v>2</v>
      </c>
      <c r="AO25" s="7">
        <v>176</v>
      </c>
      <c r="AP25" s="7"/>
      <c r="AQ25" s="7"/>
      <c r="AR25" s="7"/>
      <c r="AS25" s="7">
        <v>46</v>
      </c>
      <c r="AT25" s="7"/>
    </row>
    <row r="26" spans="1:46">
      <c r="A26" s="5" t="s">
        <v>14</v>
      </c>
      <c r="B26" s="5" t="s">
        <v>102</v>
      </c>
      <c r="C26" s="5" t="s">
        <v>91</v>
      </c>
      <c r="D26" s="5" t="s">
        <v>208</v>
      </c>
      <c r="E26">
        <v>2020</v>
      </c>
      <c r="F26" s="5">
        <v>148</v>
      </c>
      <c r="G26" s="5">
        <v>11822396</v>
      </c>
      <c r="H26" s="5">
        <v>7476798</v>
      </c>
      <c r="I26" s="15">
        <v>2.5000000000000001E-2</v>
      </c>
      <c r="J26" s="5">
        <v>7.0499999999999993E-2</v>
      </c>
      <c r="K26">
        <v>3.2500000000000001E-2</v>
      </c>
      <c r="L26" s="5">
        <v>1719831</v>
      </c>
      <c r="M26" s="5">
        <v>20856</v>
      </c>
      <c r="N26" s="5">
        <v>12678</v>
      </c>
      <c r="O26" s="5">
        <v>14559</v>
      </c>
      <c r="P26" s="5">
        <v>78.965999999999994</v>
      </c>
      <c r="Q26" s="5">
        <v>43.374000000000002</v>
      </c>
      <c r="R26" s="5">
        <v>0.12662999999999999</v>
      </c>
      <c r="AO26" s="7">
        <v>11871</v>
      </c>
      <c r="AP26" s="7"/>
      <c r="AQ26" s="7"/>
      <c r="AR26" s="7"/>
      <c r="AS26" s="7">
        <v>3209</v>
      </c>
      <c r="AT26" s="7"/>
    </row>
    <row r="27" spans="1:46">
      <c r="A27" s="5" t="s">
        <v>209</v>
      </c>
      <c r="B27" s="5" t="s">
        <v>210</v>
      </c>
      <c r="C27" s="5" t="s">
        <v>91</v>
      </c>
      <c r="D27" s="5" t="s">
        <v>211</v>
      </c>
      <c r="E27" s="5">
        <v>2019</v>
      </c>
      <c r="F27" s="5">
        <v>187</v>
      </c>
      <c r="G27" s="5">
        <v>278151.2</v>
      </c>
      <c r="H27" s="5">
        <v>202509.8</v>
      </c>
      <c r="I27" s="5">
        <v>2.5999999999999999E-2</v>
      </c>
      <c r="J27" s="15">
        <v>7.0000000000000007E-2</v>
      </c>
      <c r="K27" s="15">
        <v>0.03</v>
      </c>
      <c r="L27" s="5">
        <v>49218.44</v>
      </c>
      <c r="M27" s="5">
        <v>913</v>
      </c>
      <c r="N27" s="7">
        <v>375</v>
      </c>
      <c r="O27" s="5">
        <v>766</v>
      </c>
      <c r="P27" s="5">
        <v>53.908000000000001</v>
      </c>
      <c r="Q27" s="5">
        <v>22.364000000000001</v>
      </c>
      <c r="R27" s="5">
        <v>0.20799999999999999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>
        <v>5.8000000000000003E-2</v>
      </c>
      <c r="AM27" s="5">
        <v>2054</v>
      </c>
      <c r="AN27" s="5">
        <v>2</v>
      </c>
      <c r="AO27" s="7">
        <v>8219</v>
      </c>
      <c r="AP27" s="7"/>
      <c r="AQ27" s="7"/>
      <c r="AR27" s="7">
        <v>674</v>
      </c>
      <c r="AS27" s="7">
        <v>977</v>
      </c>
      <c r="AT27" s="7"/>
    </row>
    <row r="28" spans="1:46">
      <c r="A28" s="5" t="s">
        <v>209</v>
      </c>
      <c r="B28" s="5" t="s">
        <v>210</v>
      </c>
      <c r="C28" s="5" t="s">
        <v>91</v>
      </c>
      <c r="D28" s="5" t="s">
        <v>212</v>
      </c>
      <c r="E28">
        <v>2020</v>
      </c>
      <c r="F28" s="5">
        <v>187</v>
      </c>
      <c r="G28" s="5">
        <v>293171.20000000001</v>
      </c>
      <c r="H28" s="5">
        <v>209861.7</v>
      </c>
      <c r="I28" s="5">
        <v>2.5999999999999999E-2</v>
      </c>
      <c r="J28" s="15">
        <v>7.0000000000000007E-2</v>
      </c>
      <c r="K28" s="15">
        <v>0.03</v>
      </c>
      <c r="L28" s="5">
        <v>50603.5</v>
      </c>
      <c r="M28" s="5">
        <v>880</v>
      </c>
      <c r="N28" s="5">
        <v>393</v>
      </c>
      <c r="O28" s="5">
        <v>767</v>
      </c>
      <c r="P28" s="5">
        <v>57.503999999999998</v>
      </c>
      <c r="Q28" s="5">
        <v>22.603999999999999</v>
      </c>
      <c r="R28" s="5">
        <v>0.219</v>
      </c>
      <c r="AO28" s="7">
        <v>6519</v>
      </c>
      <c r="AP28" s="7">
        <v>709</v>
      </c>
      <c r="AQ28" s="7"/>
      <c r="AR28" s="7"/>
      <c r="AS28" s="7">
        <v>1707</v>
      </c>
      <c r="AT28" s="7"/>
    </row>
    <row r="29" spans="1:46">
      <c r="A29" s="5" t="s">
        <v>213</v>
      </c>
      <c r="B29" s="5" t="s">
        <v>214</v>
      </c>
      <c r="C29" s="5" t="s">
        <v>94</v>
      </c>
      <c r="D29" s="5" t="s">
        <v>215</v>
      </c>
      <c r="E29" s="5">
        <v>2019</v>
      </c>
      <c r="F29" s="5">
        <v>189</v>
      </c>
      <c r="G29" s="5">
        <v>196193.6</v>
      </c>
      <c r="H29" s="5">
        <v>22233.77</v>
      </c>
      <c r="I29" s="5">
        <v>2.75E-2</v>
      </c>
      <c r="J29" s="5">
        <v>3.7100000000000001E-2</v>
      </c>
      <c r="K29" s="15">
        <v>0.03</v>
      </c>
      <c r="L29" s="5">
        <v>6419.7370000000001</v>
      </c>
      <c r="M29" s="5">
        <v>103</v>
      </c>
      <c r="N29" s="7">
        <v>3</v>
      </c>
      <c r="O29" s="5">
        <v>241</v>
      </c>
      <c r="P29" s="5">
        <v>62.113</v>
      </c>
      <c r="Q29" s="5">
        <v>33.308</v>
      </c>
      <c r="R29" s="5">
        <v>2.0415899999999998</v>
      </c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>
        <v>7.4980000000000005E-2</v>
      </c>
      <c r="AM29" s="5">
        <v>347</v>
      </c>
      <c r="AN29" s="5">
        <v>2</v>
      </c>
      <c r="AO29" s="7"/>
      <c r="AP29" s="7"/>
      <c r="AQ29" s="7"/>
      <c r="AR29" s="7"/>
      <c r="AS29" s="7">
        <v>6</v>
      </c>
      <c r="AT29" s="7"/>
    </row>
    <row r="30" spans="1:46">
      <c r="A30" s="5" t="s">
        <v>213</v>
      </c>
      <c r="B30" s="5" t="s">
        <v>214</v>
      </c>
      <c r="C30" s="5" t="s">
        <v>94</v>
      </c>
      <c r="D30" s="5" t="s">
        <v>216</v>
      </c>
      <c r="E30">
        <v>2020</v>
      </c>
      <c r="F30" s="5">
        <v>189</v>
      </c>
      <c r="G30" s="5">
        <v>197719.8</v>
      </c>
      <c r="H30" s="5">
        <v>24185.66</v>
      </c>
      <c r="I30" s="5">
        <v>2.5000000000000001E-2</v>
      </c>
      <c r="J30" s="5">
        <v>3.3399999999999999E-2</v>
      </c>
      <c r="K30" s="15">
        <v>0.03</v>
      </c>
      <c r="L30" s="5">
        <v>6140.1769999999997</v>
      </c>
      <c r="M30" s="5">
        <v>94</v>
      </c>
      <c r="N30" s="5">
        <v>2</v>
      </c>
      <c r="O30" s="5">
        <v>246</v>
      </c>
      <c r="P30" s="5">
        <v>69769</v>
      </c>
      <c r="Q30" s="5">
        <v>34.445</v>
      </c>
      <c r="R30" s="5">
        <v>2.0968100000000001</v>
      </c>
      <c r="AO30" s="7">
        <v>2549</v>
      </c>
      <c r="AP30" s="7">
        <v>419</v>
      </c>
      <c r="AQ30" s="7"/>
      <c r="AR30" s="7"/>
      <c r="AS30" s="7">
        <v>264</v>
      </c>
      <c r="AT30" s="7"/>
    </row>
    <row r="31" spans="1:46">
      <c r="A31" s="5" t="s">
        <v>16</v>
      </c>
      <c r="B31" s="5" t="s">
        <v>105</v>
      </c>
      <c r="C31" s="5" t="s">
        <v>94</v>
      </c>
      <c r="D31" s="5" t="s">
        <v>106</v>
      </c>
      <c r="E31" s="5">
        <v>2019</v>
      </c>
      <c r="F31" s="5">
        <v>182</v>
      </c>
      <c r="G31" s="5">
        <v>684387</v>
      </c>
      <c r="H31" s="5">
        <v>566042</v>
      </c>
      <c r="I31" s="5">
        <v>0.03</v>
      </c>
      <c r="J31" s="5">
        <v>5.3699999999999998E-2</v>
      </c>
      <c r="K31" s="15">
        <v>0.03</v>
      </c>
      <c r="L31" s="5">
        <v>77041</v>
      </c>
      <c r="M31" s="5">
        <v>1047</v>
      </c>
      <c r="N31" s="7">
        <v>15</v>
      </c>
      <c r="O31" s="5">
        <v>750</v>
      </c>
      <c r="P31" s="5">
        <v>73.581999999999994</v>
      </c>
      <c r="Q31" s="5">
        <v>50.292999999999999</v>
      </c>
      <c r="R31" s="5">
        <v>0.2104</v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>
        <v>0.1265</v>
      </c>
      <c r="AM31" s="5">
        <v>1812</v>
      </c>
      <c r="AN31" s="5">
        <v>2</v>
      </c>
      <c r="AO31" s="7"/>
      <c r="AP31" s="7"/>
      <c r="AQ31" s="7"/>
      <c r="AR31" s="7"/>
      <c r="AS31" s="7">
        <v>11</v>
      </c>
      <c r="AT31" s="7"/>
    </row>
    <row r="32" spans="1:46">
      <c r="A32" s="5" t="s">
        <v>16</v>
      </c>
      <c r="B32" s="5" t="s">
        <v>105</v>
      </c>
      <c r="C32" s="5" t="s">
        <v>94</v>
      </c>
      <c r="D32" s="5" t="s">
        <v>217</v>
      </c>
      <c r="E32">
        <v>2020</v>
      </c>
      <c r="F32" s="5">
        <v>182</v>
      </c>
      <c r="G32" s="5">
        <v>758667</v>
      </c>
      <c r="H32" s="5">
        <v>580144</v>
      </c>
      <c r="I32" s="5">
        <v>2.5000000000000001E-2</v>
      </c>
      <c r="J32" s="5">
        <v>3.3799999999999997E-2</v>
      </c>
      <c r="K32" s="15">
        <v>0.03</v>
      </c>
      <c r="L32" s="5">
        <v>82533</v>
      </c>
      <c r="M32" s="5">
        <v>1067</v>
      </c>
      <c r="N32" s="5">
        <v>16</v>
      </c>
      <c r="O32" s="5">
        <v>765</v>
      </c>
      <c r="P32" s="5">
        <v>77.349999999999994</v>
      </c>
      <c r="Q32" s="5">
        <v>51.109000000000002</v>
      </c>
      <c r="R32" s="5">
        <v>0.28910000000000002</v>
      </c>
      <c r="AO32" s="7">
        <v>8853</v>
      </c>
      <c r="AP32" s="7">
        <v>1968</v>
      </c>
      <c r="AQ32" s="7"/>
      <c r="AR32" s="7"/>
      <c r="AS32" s="7">
        <v>3609</v>
      </c>
      <c r="AT32" s="7">
        <v>3043</v>
      </c>
    </row>
    <row r="33" spans="1:46">
      <c r="A33" t="s">
        <v>218</v>
      </c>
      <c r="B33" s="5" t="s">
        <v>219</v>
      </c>
      <c r="C33" t="s">
        <v>119</v>
      </c>
      <c r="D33" t="s">
        <v>220</v>
      </c>
      <c r="E33">
        <v>2018</v>
      </c>
      <c r="F33" s="5">
        <v>10</v>
      </c>
      <c r="G33" s="5">
        <v>408278.8</v>
      </c>
      <c r="H33" s="5">
        <v>258596.8</v>
      </c>
      <c r="I33" s="5">
        <v>2.75E-2</v>
      </c>
      <c r="J33" s="8"/>
      <c r="K33" s="8"/>
      <c r="L33" s="5">
        <v>38432.300000000003</v>
      </c>
      <c r="M33" s="5">
        <v>858</v>
      </c>
      <c r="N33" s="5">
        <v>27</v>
      </c>
      <c r="O33" s="5">
        <v>788</v>
      </c>
      <c r="P33" s="5"/>
      <c r="Q33" s="5"/>
      <c r="R33" s="5">
        <v>0.35859999999999997</v>
      </c>
      <c r="AH33" s="5">
        <v>0.1673</v>
      </c>
      <c r="AO33" s="7">
        <v>3512</v>
      </c>
      <c r="AP33" s="7">
        <v>807</v>
      </c>
      <c r="AQ33" s="7">
        <v>35728</v>
      </c>
      <c r="AR33" s="7"/>
      <c r="AS33" s="7">
        <v>43</v>
      </c>
      <c r="AT33" s="7"/>
    </row>
    <row r="34" spans="1:46">
      <c r="A34" s="5" t="s">
        <v>18</v>
      </c>
      <c r="B34" s="5" t="s">
        <v>107</v>
      </c>
      <c r="C34" s="5" t="s">
        <v>94</v>
      </c>
      <c r="D34" s="5" t="s">
        <v>108</v>
      </c>
      <c r="E34" s="5">
        <v>2019</v>
      </c>
      <c r="F34" s="5">
        <v>206</v>
      </c>
      <c r="G34" s="5">
        <v>6256060</v>
      </c>
      <c r="H34" s="5">
        <v>1137089</v>
      </c>
      <c r="I34" s="5">
        <v>2.2499999999999999E-2</v>
      </c>
      <c r="J34" s="15">
        <v>7.0000000000000007E-2</v>
      </c>
      <c r="K34" s="15">
        <v>0.03</v>
      </c>
      <c r="L34" s="5">
        <v>457082.3</v>
      </c>
      <c r="M34" s="5">
        <v>4630</v>
      </c>
      <c r="N34" s="7">
        <v>30547</v>
      </c>
      <c r="O34" s="5">
        <v>5128</v>
      </c>
      <c r="P34" s="5">
        <v>98.721999999999994</v>
      </c>
      <c r="Q34" s="5">
        <v>66.864999999999995</v>
      </c>
      <c r="R34" s="5">
        <v>0.77695000000000003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>
        <v>9.1550000000000006E-2</v>
      </c>
      <c r="AM34" s="5">
        <v>9853</v>
      </c>
      <c r="AN34" s="5">
        <v>2</v>
      </c>
      <c r="AO34" s="7">
        <v>2997</v>
      </c>
      <c r="AP34" s="7"/>
      <c r="AQ34" s="7"/>
      <c r="AR34" s="7"/>
      <c r="AS34" s="7">
        <v>82</v>
      </c>
      <c r="AT34" s="7"/>
    </row>
    <row r="35" spans="1:46">
      <c r="A35" s="5" t="s">
        <v>18</v>
      </c>
      <c r="B35" s="5" t="s">
        <v>107</v>
      </c>
      <c r="C35" s="5" t="s">
        <v>114</v>
      </c>
      <c r="D35" s="5" t="s">
        <v>221</v>
      </c>
      <c r="E35">
        <v>2020</v>
      </c>
      <c r="F35" s="5">
        <v>11</v>
      </c>
      <c r="G35" s="5">
        <v>6570504</v>
      </c>
      <c r="H35" s="5">
        <v>1275913</v>
      </c>
      <c r="I35" s="5">
        <v>2.2499999999999999E-2</v>
      </c>
      <c r="J35" s="15">
        <v>7.0000000000000007E-2</v>
      </c>
      <c r="K35" s="15">
        <v>0.03</v>
      </c>
      <c r="L35" s="5">
        <v>500367.9</v>
      </c>
      <c r="M35" s="5">
        <v>4697</v>
      </c>
      <c r="N35" s="5">
        <v>124</v>
      </c>
      <c r="O35" s="5">
        <v>5221</v>
      </c>
      <c r="P35" s="5">
        <v>106.529</v>
      </c>
      <c r="Q35" s="5">
        <v>69.495000000000005</v>
      </c>
      <c r="R35" s="5">
        <v>0.75034999999999996</v>
      </c>
      <c r="AO35" s="7">
        <v>3860</v>
      </c>
      <c r="AP35" s="7">
        <v>1249</v>
      </c>
      <c r="AQ35" s="7"/>
      <c r="AR35" s="7"/>
      <c r="AS35" s="7">
        <v>196</v>
      </c>
      <c r="AT35" s="7"/>
    </row>
    <row r="36" spans="1:46">
      <c r="A36" t="s">
        <v>18</v>
      </c>
      <c r="B36" s="5" t="s">
        <v>107</v>
      </c>
      <c r="C36" t="s">
        <v>94</v>
      </c>
      <c r="D36" t="s">
        <v>222</v>
      </c>
      <c r="E36">
        <v>2018</v>
      </c>
      <c r="F36" s="5">
        <v>12</v>
      </c>
      <c r="G36" s="5">
        <v>6155919</v>
      </c>
      <c r="H36" s="5">
        <v>1130370</v>
      </c>
      <c r="I36" s="5">
        <v>2.2499999999999999E-2</v>
      </c>
      <c r="L36" s="5">
        <v>456969.3</v>
      </c>
      <c r="M36" s="5">
        <v>4487</v>
      </c>
      <c r="N36" s="5">
        <v>92</v>
      </c>
      <c r="O36" s="5">
        <v>5022</v>
      </c>
      <c r="P36" s="5">
        <v>45.7</v>
      </c>
      <c r="Q36" s="5"/>
      <c r="R36" s="5">
        <v>0.53614099999999998</v>
      </c>
      <c r="AH36" s="5">
        <v>0.216</v>
      </c>
      <c r="AO36" s="7"/>
      <c r="AP36" s="7"/>
      <c r="AQ36" s="7"/>
      <c r="AR36" s="7"/>
      <c r="AS36" s="7"/>
      <c r="AT36" s="7"/>
    </row>
    <row r="37" spans="1:46">
      <c r="A37" s="5" t="s">
        <v>18</v>
      </c>
      <c r="B37" s="5" t="s">
        <v>109</v>
      </c>
      <c r="C37" s="5" t="s">
        <v>91</v>
      </c>
      <c r="D37" s="5" t="s">
        <v>110</v>
      </c>
      <c r="E37" s="5">
        <v>2019</v>
      </c>
      <c r="F37" s="5">
        <v>145</v>
      </c>
      <c r="G37" s="5">
        <v>17260356</v>
      </c>
      <c r="H37" s="5">
        <v>4012852</v>
      </c>
      <c r="I37" s="5">
        <v>2.5000000000000001E-2</v>
      </c>
      <c r="J37" s="5">
        <v>7.0000000000000007E-2</v>
      </c>
      <c r="K37" s="15">
        <v>0.03</v>
      </c>
      <c r="L37" s="5">
        <v>1802790</v>
      </c>
      <c r="M37" s="5">
        <v>32162</v>
      </c>
      <c r="N37" s="7">
        <v>18734</v>
      </c>
      <c r="O37" s="5">
        <v>25544</v>
      </c>
      <c r="P37" s="5">
        <v>56.052999999999997</v>
      </c>
      <c r="Q37" s="5">
        <v>36.210999999999999</v>
      </c>
      <c r="R37" s="5">
        <v>0.62839999999999996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>
        <v>8.3400000000000002E-2</v>
      </c>
      <c r="AM37" s="5">
        <v>76440</v>
      </c>
      <c r="AN37" s="5">
        <v>2</v>
      </c>
      <c r="AO37" s="7">
        <v>2519</v>
      </c>
      <c r="AP37" s="7"/>
      <c r="AQ37" s="7"/>
      <c r="AR37" s="7"/>
      <c r="AS37" s="7">
        <v>192</v>
      </c>
      <c r="AT37" s="7">
        <v>334</v>
      </c>
    </row>
    <row r="38" spans="1:46">
      <c r="A38" s="5" t="s">
        <v>18</v>
      </c>
      <c r="B38" s="5" t="s">
        <v>109</v>
      </c>
      <c r="C38" s="5" t="s">
        <v>91</v>
      </c>
      <c r="D38" s="5" t="s">
        <v>223</v>
      </c>
      <c r="E38">
        <v>2020</v>
      </c>
      <c r="F38" s="5">
        <v>145</v>
      </c>
      <c r="G38" s="5">
        <v>17814812</v>
      </c>
      <c r="H38" s="5">
        <v>3977038</v>
      </c>
      <c r="I38" s="5">
        <v>2.5000000000000001E-2</v>
      </c>
      <c r="J38" s="5">
        <v>7.0000000000000007E-2</v>
      </c>
      <c r="K38" s="15">
        <v>0.03</v>
      </c>
      <c r="L38" s="5">
        <v>1861905</v>
      </c>
      <c r="M38" s="5">
        <v>31327</v>
      </c>
      <c r="N38" s="5">
        <v>20139</v>
      </c>
      <c r="O38" s="5">
        <v>25471</v>
      </c>
      <c r="P38" s="5">
        <v>59.435000000000002</v>
      </c>
      <c r="Q38" s="5">
        <v>37.298999999999999</v>
      </c>
      <c r="R38" s="5">
        <v>0.63529999999999998</v>
      </c>
      <c r="AO38" s="7">
        <v>3840</v>
      </c>
      <c r="AP38" s="7">
        <v>228</v>
      </c>
      <c r="AQ38" s="7"/>
      <c r="AR38" s="7"/>
      <c r="AS38" s="7">
        <v>529</v>
      </c>
      <c r="AT38" s="7">
        <v>2631</v>
      </c>
    </row>
    <row r="39" spans="1:46">
      <c r="A39" s="5" t="s">
        <v>18</v>
      </c>
      <c r="B39" s="5" t="s">
        <v>111</v>
      </c>
      <c r="C39" s="5" t="s">
        <v>97</v>
      </c>
      <c r="D39" s="5" t="s">
        <v>112</v>
      </c>
      <c r="E39" s="5">
        <v>2019</v>
      </c>
      <c r="F39" s="5">
        <v>146</v>
      </c>
      <c r="G39" s="5">
        <v>14269770</v>
      </c>
      <c r="H39" s="5">
        <v>3179503</v>
      </c>
      <c r="I39" s="5">
        <v>2.2499999999999999E-2</v>
      </c>
      <c r="J39" s="5">
        <v>6.4299999999999996E-2</v>
      </c>
      <c r="K39" s="15">
        <v>0.03</v>
      </c>
      <c r="L39" s="5">
        <v>1228987</v>
      </c>
      <c r="M39" s="5">
        <v>13353</v>
      </c>
      <c r="N39" s="7">
        <v>707</v>
      </c>
      <c r="O39" s="5">
        <v>13771</v>
      </c>
      <c r="P39" s="5">
        <v>92.037999999999997</v>
      </c>
      <c r="Q39" s="5">
        <v>68.745999999999995</v>
      </c>
      <c r="R39" s="5">
        <v>0.64019999999999999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>
        <v>9.6490000000000006E-2</v>
      </c>
      <c r="AM39" s="5">
        <v>27831</v>
      </c>
      <c r="AN39" s="5">
        <v>2</v>
      </c>
      <c r="AO39" s="7">
        <v>668</v>
      </c>
      <c r="AP39" s="7">
        <v>177</v>
      </c>
      <c r="AQ39" s="7"/>
      <c r="AR39" s="7"/>
      <c r="AS39" s="7"/>
      <c r="AT39" s="7"/>
    </row>
    <row r="40" spans="1:46">
      <c r="A40" s="5" t="s">
        <v>18</v>
      </c>
      <c r="B40" s="5" t="s">
        <v>111</v>
      </c>
      <c r="C40" s="5" t="s">
        <v>97</v>
      </c>
      <c r="D40" s="5" t="s">
        <v>224</v>
      </c>
      <c r="E40">
        <v>2020</v>
      </c>
      <c r="F40" s="5">
        <v>146</v>
      </c>
      <c r="G40" s="5">
        <v>14703119</v>
      </c>
      <c r="H40" s="5">
        <v>3399988</v>
      </c>
      <c r="I40" s="5">
        <v>2.2499999999999999E-2</v>
      </c>
      <c r="J40" s="5">
        <v>6.2799999999999995E-2</v>
      </c>
      <c r="K40" s="15">
        <v>0.03</v>
      </c>
      <c r="L40" s="5">
        <v>1195980</v>
      </c>
      <c r="M40" s="5">
        <v>12715</v>
      </c>
      <c r="N40" s="5">
        <v>801</v>
      </c>
      <c r="O40" s="5">
        <v>13900</v>
      </c>
      <c r="P40" s="5">
        <v>94.061000000000007</v>
      </c>
      <c r="Q40" s="5">
        <v>71.201999999999998</v>
      </c>
      <c r="R40" s="5">
        <v>0.66844999999999999</v>
      </c>
      <c r="AO40" s="7">
        <v>276</v>
      </c>
      <c r="AP40" s="7"/>
      <c r="AQ40" s="7"/>
      <c r="AR40" s="7"/>
      <c r="AS40" s="7"/>
      <c r="AT40" s="7"/>
    </row>
    <row r="41" spans="1:46">
      <c r="A41" s="5" t="s">
        <v>18</v>
      </c>
      <c r="B41" s="5" t="s">
        <v>225</v>
      </c>
      <c r="C41" s="5" t="s">
        <v>114</v>
      </c>
      <c r="D41" s="5" t="s">
        <v>115</v>
      </c>
      <c r="E41" s="5">
        <v>2019</v>
      </c>
      <c r="F41" s="5">
        <v>11</v>
      </c>
      <c r="G41" s="5">
        <v>23252163</v>
      </c>
      <c r="H41" s="5">
        <v>11021812</v>
      </c>
      <c r="I41" s="5">
        <v>2.5000000000000001E-2</v>
      </c>
      <c r="J41" s="5">
        <v>6.7199999999999996E-2</v>
      </c>
      <c r="K41" s="15">
        <v>0.03</v>
      </c>
      <c r="L41" s="5">
        <v>2203056</v>
      </c>
      <c r="M41" s="5">
        <v>29295</v>
      </c>
      <c r="N41" s="7">
        <v>95</v>
      </c>
      <c r="O41" s="5">
        <v>28317</v>
      </c>
      <c r="P41" s="5">
        <v>74.382999999999996</v>
      </c>
      <c r="Q41" s="5">
        <v>51.878</v>
      </c>
      <c r="R41" s="5">
        <v>0.37691000000000002</v>
      </c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>
        <v>8.7459999999999996E-2</v>
      </c>
      <c r="AM41" s="5">
        <v>67538</v>
      </c>
      <c r="AN41" s="5">
        <v>5</v>
      </c>
      <c r="AO41" s="7">
        <v>15165</v>
      </c>
      <c r="AP41" s="7">
        <v>3981</v>
      </c>
      <c r="AQ41" s="7"/>
      <c r="AR41" s="7"/>
      <c r="AS41" s="7">
        <v>8588</v>
      </c>
      <c r="AT41" s="7"/>
    </row>
    <row r="42" spans="1:46">
      <c r="A42" s="5" t="s">
        <v>18</v>
      </c>
      <c r="B42" s="5" t="s">
        <v>225</v>
      </c>
      <c r="C42" s="5" t="s">
        <v>94</v>
      </c>
      <c r="D42" s="5" t="s">
        <v>226</v>
      </c>
      <c r="E42">
        <v>2020</v>
      </c>
      <c r="F42" s="5">
        <v>206</v>
      </c>
      <c r="G42" s="5">
        <v>24073483</v>
      </c>
      <c r="H42" s="5">
        <v>11240208</v>
      </c>
      <c r="I42" s="5">
        <v>2.2499999999999999E-2</v>
      </c>
      <c r="J42" s="5">
        <v>6.3700000000000007E-2</v>
      </c>
      <c r="K42" s="15">
        <v>0.03</v>
      </c>
      <c r="L42" s="5">
        <v>2267288</v>
      </c>
      <c r="M42" s="5">
        <v>30091</v>
      </c>
      <c r="N42" s="5">
        <v>31284</v>
      </c>
      <c r="O42" s="5">
        <v>28015</v>
      </c>
      <c r="P42" s="5">
        <v>74.756</v>
      </c>
      <c r="Q42" s="5">
        <v>53.140999999999998</v>
      </c>
      <c r="R42" s="5">
        <v>0.40211999999999998</v>
      </c>
      <c r="AO42" s="7">
        <v>8811</v>
      </c>
      <c r="AP42" s="7">
        <v>2465</v>
      </c>
      <c r="AQ42" s="7"/>
      <c r="AR42" s="7"/>
      <c r="AS42" s="7">
        <v>523</v>
      </c>
      <c r="AT42" s="7"/>
    </row>
    <row r="43" spans="1:46">
      <c r="A43" s="5" t="s">
        <v>227</v>
      </c>
      <c r="B43" s="5" t="s">
        <v>228</v>
      </c>
      <c r="C43" s="5" t="s">
        <v>91</v>
      </c>
      <c r="D43" s="5" t="s">
        <v>229</v>
      </c>
      <c r="E43" s="5">
        <v>2019</v>
      </c>
      <c r="F43" s="5">
        <v>160</v>
      </c>
      <c r="G43" s="5">
        <v>2417515</v>
      </c>
      <c r="H43" s="5">
        <v>1755861</v>
      </c>
      <c r="I43" s="5">
        <v>2.75E-2</v>
      </c>
      <c r="J43" s="15">
        <v>7.0000000000000007E-2</v>
      </c>
      <c r="K43" s="15">
        <v>0.03</v>
      </c>
      <c r="L43" s="5">
        <v>206122</v>
      </c>
      <c r="M43" s="5">
        <v>2951</v>
      </c>
      <c r="N43" s="7">
        <v>212</v>
      </c>
      <c r="O43" s="5">
        <v>4207</v>
      </c>
      <c r="P43" s="5">
        <v>66.132000000000005</v>
      </c>
      <c r="Q43" s="5">
        <v>38.679000000000002</v>
      </c>
      <c r="R43" s="5">
        <v>0.30199999999999999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>
        <v>0.09</v>
      </c>
      <c r="AM43" s="5">
        <v>7370</v>
      </c>
      <c r="AN43" s="5">
        <v>2</v>
      </c>
      <c r="AO43" s="7">
        <v>7355</v>
      </c>
      <c r="AP43" s="7">
        <v>1960</v>
      </c>
      <c r="AQ43" s="7"/>
      <c r="AR43" s="7"/>
      <c r="AS43" s="7">
        <v>1663</v>
      </c>
      <c r="AT43" s="7"/>
    </row>
    <row r="44" spans="1:46">
      <c r="A44" s="5" t="s">
        <v>227</v>
      </c>
      <c r="B44" s="5" t="s">
        <v>228</v>
      </c>
      <c r="C44" s="5" t="s">
        <v>91</v>
      </c>
      <c r="D44" s="5" t="s">
        <v>230</v>
      </c>
      <c r="E44">
        <v>2020</v>
      </c>
      <c r="F44" s="5">
        <v>160</v>
      </c>
      <c r="G44" s="5">
        <v>2466349</v>
      </c>
      <c r="H44" s="5">
        <v>1756533</v>
      </c>
      <c r="I44" s="15">
        <v>2.5000000000000001E-2</v>
      </c>
      <c r="J44" s="5">
        <v>7.4999999999999997E-2</v>
      </c>
      <c r="K44" s="15">
        <v>0.03</v>
      </c>
      <c r="L44" s="5">
        <v>215460</v>
      </c>
      <c r="M44" s="5">
        <v>2903</v>
      </c>
      <c r="N44" s="5">
        <v>225</v>
      </c>
      <c r="O44" s="5">
        <v>3660</v>
      </c>
      <c r="P44" s="5">
        <v>68.412999999999997</v>
      </c>
      <c r="Q44" s="5">
        <v>39.582000000000001</v>
      </c>
      <c r="R44" s="5">
        <v>0.30669999999999997</v>
      </c>
      <c r="AO44" s="7">
        <v>955</v>
      </c>
      <c r="AP44" s="7"/>
      <c r="AQ44" s="7"/>
      <c r="AR44" s="7"/>
      <c r="AS44" s="7"/>
      <c r="AT44" s="7"/>
    </row>
    <row r="45" spans="1:46">
      <c r="A45" s="5" t="s">
        <v>20</v>
      </c>
      <c r="B45" s="5" t="s">
        <v>116</v>
      </c>
      <c r="C45" s="5" t="s">
        <v>91</v>
      </c>
      <c r="D45" s="5" t="s">
        <v>117</v>
      </c>
      <c r="E45" s="5">
        <v>2019</v>
      </c>
      <c r="F45" s="5">
        <v>201</v>
      </c>
      <c r="G45" s="5">
        <v>4863325</v>
      </c>
      <c r="H45" s="5">
        <v>3682959</v>
      </c>
      <c r="I45" s="5">
        <v>2.5000000000000001E-2</v>
      </c>
      <c r="J45" s="5">
        <v>5.9299999999999999E-2</v>
      </c>
      <c r="K45" s="15">
        <v>0.03</v>
      </c>
      <c r="L45" s="5">
        <v>444737</v>
      </c>
      <c r="M45" s="5">
        <v>7427</v>
      </c>
      <c r="N45" s="7">
        <v>1666</v>
      </c>
      <c r="O45" s="5">
        <v>7405</v>
      </c>
      <c r="P45" s="5">
        <v>58.420999999999999</v>
      </c>
      <c r="Q45" s="5">
        <v>37.542999999999999</v>
      </c>
      <c r="R45" s="5">
        <v>0.22059999999999999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>
        <v>0.13320000000000001</v>
      </c>
      <c r="AM45" s="5">
        <v>16498</v>
      </c>
      <c r="AN45" s="5">
        <v>2</v>
      </c>
      <c r="AO45" s="7">
        <v>10904</v>
      </c>
      <c r="AP45" s="7">
        <v>2091</v>
      </c>
      <c r="AQ45" s="7"/>
      <c r="AR45" s="7"/>
      <c r="AS45" s="7">
        <v>3028</v>
      </c>
      <c r="AT45" s="7">
        <v>1540</v>
      </c>
    </row>
    <row r="46" spans="1:46">
      <c r="A46" s="5" t="s">
        <v>20</v>
      </c>
      <c r="B46" s="5" t="s">
        <v>116</v>
      </c>
      <c r="C46" s="5" t="s">
        <v>119</v>
      </c>
      <c r="D46" s="5" t="s">
        <v>231</v>
      </c>
      <c r="E46">
        <v>2020</v>
      </c>
      <c r="F46" s="5">
        <v>153</v>
      </c>
      <c r="G46" s="5">
        <v>4932886</v>
      </c>
      <c r="H46" s="5">
        <v>3747078</v>
      </c>
      <c r="I46" s="5">
        <v>2.5000000000000001E-2</v>
      </c>
      <c r="J46" s="5">
        <v>5.2699999999999997E-2</v>
      </c>
      <c r="K46" s="15">
        <v>0.03</v>
      </c>
      <c r="L46" s="5">
        <v>439544</v>
      </c>
      <c r="M46" s="5">
        <v>7244</v>
      </c>
      <c r="N46" s="5">
        <v>143</v>
      </c>
      <c r="O46" s="5">
        <v>7552</v>
      </c>
      <c r="P46" s="5">
        <v>59.197000000000003</v>
      </c>
      <c r="Q46" s="5">
        <v>38.064999999999998</v>
      </c>
      <c r="R46" s="5">
        <v>0.21529999999999999</v>
      </c>
      <c r="AO46" s="7"/>
      <c r="AP46" s="7"/>
      <c r="AQ46" s="7"/>
      <c r="AR46" s="7"/>
      <c r="AS46" s="7">
        <v>68305</v>
      </c>
      <c r="AT46" s="7">
        <v>130051</v>
      </c>
    </row>
    <row r="47" spans="1:46">
      <c r="A47" s="5" t="s">
        <v>20</v>
      </c>
      <c r="B47" s="5" t="s">
        <v>118</v>
      </c>
      <c r="C47" s="5" t="s">
        <v>119</v>
      </c>
      <c r="D47" s="5" t="s">
        <v>120</v>
      </c>
      <c r="E47" s="5">
        <v>2019</v>
      </c>
      <c r="F47" s="5">
        <v>153</v>
      </c>
      <c r="G47" s="5">
        <v>4723972</v>
      </c>
      <c r="H47" s="5">
        <v>2160126</v>
      </c>
      <c r="I47" s="5">
        <v>2.5000000000000001E-2</v>
      </c>
      <c r="J47" s="5">
        <v>7.0000000000000007E-2</v>
      </c>
      <c r="K47" s="15">
        <v>0.03</v>
      </c>
      <c r="L47" s="5">
        <v>396954.7</v>
      </c>
      <c r="M47" s="5">
        <v>4738</v>
      </c>
      <c r="N47" s="7">
        <v>128</v>
      </c>
      <c r="O47" s="5">
        <v>5039</v>
      </c>
      <c r="P47" s="5">
        <v>76.254000000000005</v>
      </c>
      <c r="Q47" s="5">
        <v>50.161000000000001</v>
      </c>
      <c r="R47" s="5">
        <v>0.46710000000000002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>
        <v>0.13500000000000001</v>
      </c>
      <c r="AM47" s="5">
        <v>10019</v>
      </c>
      <c r="AN47" s="5">
        <v>2</v>
      </c>
      <c r="AO47" s="7"/>
      <c r="AP47" s="7"/>
      <c r="AQ47" s="7"/>
      <c r="AR47" s="7"/>
      <c r="AS47" s="7">
        <v>8638</v>
      </c>
      <c r="AT47" s="7"/>
    </row>
    <row r="48" spans="1:46">
      <c r="A48" s="5" t="s">
        <v>20</v>
      </c>
      <c r="B48" s="5" t="s">
        <v>118</v>
      </c>
      <c r="C48" s="5" t="s">
        <v>91</v>
      </c>
      <c r="D48" s="5" t="s">
        <v>232</v>
      </c>
      <c r="E48">
        <v>2020</v>
      </c>
      <c r="F48" s="5">
        <v>201</v>
      </c>
      <c r="G48" s="5">
        <v>5115967</v>
      </c>
      <c r="H48" s="5">
        <v>2127834</v>
      </c>
      <c r="I48" s="5">
        <v>2.5000000000000001E-2</v>
      </c>
      <c r="J48" s="15">
        <v>7.0000000000000007E-2</v>
      </c>
      <c r="K48" s="15">
        <v>0.03</v>
      </c>
      <c r="L48" s="5">
        <v>427440.5</v>
      </c>
      <c r="M48" s="5">
        <v>4786</v>
      </c>
      <c r="N48" s="5">
        <v>1710</v>
      </c>
      <c r="O48" s="5">
        <v>5110</v>
      </c>
      <c r="P48" s="5">
        <v>82.918999999999997</v>
      </c>
      <c r="Q48" s="5">
        <v>50.197000000000003</v>
      </c>
      <c r="R48" s="5">
        <v>0.51770000000000005</v>
      </c>
      <c r="AO48" s="7"/>
      <c r="AP48" s="7"/>
      <c r="AQ48" s="7"/>
      <c r="AR48" s="7"/>
      <c r="AS48" s="7">
        <v>3450</v>
      </c>
      <c r="AT48" s="7"/>
    </row>
    <row r="49" spans="1:46">
      <c r="A49" s="5" t="s">
        <v>233</v>
      </c>
      <c r="B49" s="5" t="s">
        <v>234</v>
      </c>
      <c r="C49" s="5" t="s">
        <v>119</v>
      </c>
      <c r="D49" s="5" t="s">
        <v>235</v>
      </c>
      <c r="E49" s="5">
        <v>2019</v>
      </c>
      <c r="F49" s="5">
        <v>19</v>
      </c>
      <c r="G49" s="5">
        <v>5604573</v>
      </c>
      <c r="H49" s="5">
        <v>6269628</v>
      </c>
      <c r="I49" s="5">
        <v>3.5000000000000003E-2</v>
      </c>
      <c r="J49" s="5">
        <v>6.5000000000000002E-2</v>
      </c>
      <c r="K49" s="15">
        <v>0.03</v>
      </c>
      <c r="L49" s="5">
        <v>495809</v>
      </c>
      <c r="M49" s="5">
        <v>5406</v>
      </c>
      <c r="N49" s="7">
        <v>676</v>
      </c>
      <c r="O49" s="5">
        <v>3699</v>
      </c>
      <c r="P49" s="5">
        <v>91.715000000000003</v>
      </c>
      <c r="Q49" s="5">
        <v>34.850999999999999</v>
      </c>
      <c r="R49" s="5">
        <v>0.2051</v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>
        <v>7.9000000000000001E-2</v>
      </c>
      <c r="AM49" s="5">
        <v>9366</v>
      </c>
      <c r="AN49" s="5">
        <v>2</v>
      </c>
      <c r="AO49" s="7"/>
      <c r="AP49" s="7"/>
      <c r="AQ49" s="7"/>
      <c r="AR49" s="7"/>
      <c r="AS49" s="7">
        <v>298</v>
      </c>
      <c r="AT49" s="7"/>
    </row>
    <row r="50" spans="1:46">
      <c r="A50" s="5" t="s">
        <v>233</v>
      </c>
      <c r="B50" s="5" t="s">
        <v>234</v>
      </c>
      <c r="C50" s="5" t="s">
        <v>119</v>
      </c>
      <c r="D50" s="5" t="s">
        <v>236</v>
      </c>
      <c r="E50">
        <v>2020</v>
      </c>
      <c r="F50" s="5">
        <v>19</v>
      </c>
      <c r="G50" s="5">
        <v>6023843</v>
      </c>
      <c r="H50" s="5">
        <v>6676013</v>
      </c>
      <c r="I50" s="5">
        <v>3.5000000000000003E-2</v>
      </c>
      <c r="J50" s="5">
        <v>6.5000000000000002E-2</v>
      </c>
      <c r="K50" s="15">
        <v>0.03</v>
      </c>
      <c r="L50" s="5">
        <v>507348</v>
      </c>
      <c r="M50" s="5">
        <v>5377</v>
      </c>
      <c r="N50" s="5">
        <v>683</v>
      </c>
      <c r="O50" s="5">
        <v>3929</v>
      </c>
      <c r="P50" s="5">
        <v>94.355000000000004</v>
      </c>
      <c r="Q50" s="5">
        <v>37.31</v>
      </c>
      <c r="R50" s="5">
        <v>0.20979999999999999</v>
      </c>
      <c r="AO50" s="7">
        <v>15979</v>
      </c>
      <c r="AP50" s="7">
        <v>768</v>
      </c>
      <c r="AQ50" s="7"/>
      <c r="AR50" s="7"/>
      <c r="AS50" s="7">
        <v>1934</v>
      </c>
      <c r="AT50" s="7">
        <v>10525</v>
      </c>
    </row>
    <row r="51" spans="1:46">
      <c r="A51" s="5" t="s">
        <v>233</v>
      </c>
      <c r="B51" s="5" t="s">
        <v>237</v>
      </c>
      <c r="C51" s="5" t="s">
        <v>114</v>
      </c>
      <c r="D51" s="5" t="s">
        <v>238</v>
      </c>
      <c r="E51" s="5">
        <v>2019</v>
      </c>
      <c r="F51" s="5">
        <v>20</v>
      </c>
      <c r="G51" s="5">
        <v>2494291</v>
      </c>
      <c r="H51" s="5">
        <v>2271160</v>
      </c>
      <c r="I51" s="5">
        <v>3.5000000000000003E-2</v>
      </c>
      <c r="J51" s="5">
        <v>6.5000000000000002E-2</v>
      </c>
      <c r="K51" s="15">
        <v>0.03</v>
      </c>
      <c r="L51" s="5">
        <v>516609</v>
      </c>
      <c r="M51" s="5">
        <v>5226</v>
      </c>
      <c r="N51" s="7">
        <v>6324</v>
      </c>
      <c r="O51" s="5">
        <v>4059</v>
      </c>
      <c r="P51" s="5">
        <v>98.853999999999999</v>
      </c>
      <c r="Q51" s="5">
        <v>20.163</v>
      </c>
      <c r="R51" s="5">
        <v>0.1232</v>
      </c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>
        <v>7.9000000000000001E-2</v>
      </c>
      <c r="AM51" s="5">
        <v>10731</v>
      </c>
      <c r="AN51" s="5">
        <v>2</v>
      </c>
      <c r="AO51" s="7">
        <v>154116</v>
      </c>
      <c r="AP51" s="7"/>
      <c r="AQ51" s="7"/>
      <c r="AR51" s="7"/>
      <c r="AS51" s="7">
        <v>21389</v>
      </c>
      <c r="AT51" s="7">
        <v>28483</v>
      </c>
    </row>
    <row r="52" spans="1:46">
      <c r="A52" s="5" t="s">
        <v>233</v>
      </c>
      <c r="B52" s="5" t="s">
        <v>237</v>
      </c>
      <c r="C52" s="5" t="s">
        <v>114</v>
      </c>
      <c r="D52" s="5" t="s">
        <v>239</v>
      </c>
      <c r="E52">
        <v>2020</v>
      </c>
      <c r="F52" s="5">
        <v>20</v>
      </c>
      <c r="G52" s="5">
        <v>2640803</v>
      </c>
      <c r="H52" s="5">
        <v>2431075</v>
      </c>
      <c r="I52" s="5">
        <v>3.5000000000000003E-2</v>
      </c>
      <c r="J52" s="5">
        <v>6.5000000000000002E-2</v>
      </c>
      <c r="K52" s="15">
        <v>0.03</v>
      </c>
      <c r="L52" s="5">
        <v>551835</v>
      </c>
      <c r="M52" s="5">
        <v>5531</v>
      </c>
      <c r="N52" s="5">
        <v>6227</v>
      </c>
      <c r="O52" s="5">
        <v>4071</v>
      </c>
      <c r="P52" s="5">
        <v>99.771000000000001</v>
      </c>
      <c r="Q52" s="5">
        <v>20.97</v>
      </c>
      <c r="R52" s="5">
        <v>0.1226</v>
      </c>
      <c r="AO52" s="7">
        <v>4993</v>
      </c>
      <c r="AP52" s="7">
        <v>645</v>
      </c>
      <c r="AQ52" s="7"/>
      <c r="AR52" s="7">
        <v>354</v>
      </c>
      <c r="AS52" s="7">
        <v>68</v>
      </c>
      <c r="AT52" s="7">
        <v>35</v>
      </c>
    </row>
    <row r="53" spans="1:46">
      <c r="A53" s="5" t="s">
        <v>22</v>
      </c>
      <c r="B53" s="5" t="s">
        <v>121</v>
      </c>
      <c r="C53" s="5" t="s">
        <v>91</v>
      </c>
      <c r="D53" s="5" t="s">
        <v>122</v>
      </c>
      <c r="E53" s="5">
        <v>2019</v>
      </c>
      <c r="F53" s="5">
        <v>22</v>
      </c>
      <c r="G53" s="5">
        <v>3727787</v>
      </c>
      <c r="H53" s="5">
        <v>2300324</v>
      </c>
      <c r="I53" s="5">
        <v>2.5000000000000001E-2</v>
      </c>
      <c r="J53" s="5">
        <v>7.4999999999999997E-2</v>
      </c>
      <c r="K53" s="15">
        <v>0.03</v>
      </c>
      <c r="L53" s="5">
        <v>732000</v>
      </c>
      <c r="M53" s="5">
        <v>9401</v>
      </c>
      <c r="N53" s="7">
        <v>46</v>
      </c>
      <c r="O53" s="5">
        <v>10153</v>
      </c>
      <c r="P53" s="5">
        <v>78.453000000000003</v>
      </c>
      <c r="Q53" s="5">
        <v>21.693000000000001</v>
      </c>
      <c r="R53" s="5">
        <v>0.2432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>
        <v>0.08</v>
      </c>
      <c r="AM53" s="5">
        <v>22965</v>
      </c>
      <c r="AN53" s="5">
        <v>2</v>
      </c>
      <c r="AO53" s="7">
        <v>33416</v>
      </c>
      <c r="AP53" s="7">
        <v>451</v>
      </c>
      <c r="AQ53" s="7"/>
      <c r="AR53" s="7">
        <v>840</v>
      </c>
      <c r="AS53" s="7">
        <v>491</v>
      </c>
      <c r="AT53" s="7">
        <v>1940</v>
      </c>
    </row>
    <row r="54" spans="1:46">
      <c r="A54" s="5" t="s">
        <v>22</v>
      </c>
      <c r="B54" s="5" t="s">
        <v>121</v>
      </c>
      <c r="C54" s="5" t="s">
        <v>91</v>
      </c>
      <c r="D54" s="5" t="s">
        <v>240</v>
      </c>
      <c r="E54">
        <v>2020</v>
      </c>
      <c r="F54" s="5">
        <v>22</v>
      </c>
      <c r="G54" s="5">
        <v>3947667</v>
      </c>
      <c r="H54" s="5">
        <v>2378772</v>
      </c>
      <c r="I54" s="5">
        <v>2.5000000000000001E-2</v>
      </c>
      <c r="J54" s="5">
        <v>7.2499999999999995E-2</v>
      </c>
      <c r="K54" s="15">
        <v>0.03</v>
      </c>
      <c r="L54" s="5">
        <v>719481</v>
      </c>
      <c r="M54" s="5">
        <v>8958</v>
      </c>
      <c r="N54" s="5">
        <v>43</v>
      </c>
      <c r="O54" s="5">
        <v>10538</v>
      </c>
      <c r="P54" s="5">
        <v>80.745999999999995</v>
      </c>
      <c r="Q54" s="5">
        <v>22.515000000000001</v>
      </c>
      <c r="R54" s="5">
        <v>0.24390000000000001</v>
      </c>
      <c r="AO54" s="7"/>
      <c r="AP54" s="7"/>
      <c r="AQ54" s="7"/>
      <c r="AR54" s="7"/>
      <c r="AS54" s="7">
        <v>13410</v>
      </c>
      <c r="AT54" s="7">
        <v>8174</v>
      </c>
    </row>
    <row r="55" spans="1:46">
      <c r="A55" s="5" t="s">
        <v>22</v>
      </c>
      <c r="B55" s="5" t="s">
        <v>241</v>
      </c>
      <c r="C55" s="5" t="s">
        <v>114</v>
      </c>
      <c r="D55" s="5" t="s">
        <v>242</v>
      </c>
      <c r="E55" s="5">
        <v>2019</v>
      </c>
      <c r="F55" s="5">
        <v>23</v>
      </c>
      <c r="G55" s="5">
        <v>4263384</v>
      </c>
      <c r="H55" s="5">
        <v>3410264</v>
      </c>
      <c r="I55" s="5">
        <v>2.4E-2</v>
      </c>
      <c r="J55" s="5">
        <v>7.2499999999999995E-2</v>
      </c>
      <c r="K55" s="15">
        <v>0.03</v>
      </c>
      <c r="L55" s="5">
        <v>736263.8</v>
      </c>
      <c r="M55" s="5">
        <v>15679</v>
      </c>
      <c r="N55" s="7">
        <v>3209</v>
      </c>
      <c r="O55" s="5">
        <v>7148</v>
      </c>
      <c r="P55" s="5">
        <v>46.959000000000003</v>
      </c>
      <c r="Q55" s="5">
        <v>38.655000000000001</v>
      </c>
      <c r="R55" s="5">
        <v>8.2199999999999995E-2</v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>
        <v>0.10249999999999999</v>
      </c>
      <c r="AM55" s="5">
        <v>24815</v>
      </c>
      <c r="AN55" s="5">
        <v>5</v>
      </c>
      <c r="AO55" s="7">
        <v>1310</v>
      </c>
      <c r="AP55" s="7">
        <v>234</v>
      </c>
      <c r="AQ55" s="7">
        <v>3309</v>
      </c>
      <c r="AR55" s="7"/>
      <c r="AS55" s="7">
        <v>140</v>
      </c>
      <c r="AT55" s="7"/>
    </row>
    <row r="56" spans="1:46">
      <c r="A56" s="5" t="s">
        <v>22</v>
      </c>
      <c r="B56" s="5" t="s">
        <v>241</v>
      </c>
      <c r="C56" s="5" t="s">
        <v>114</v>
      </c>
      <c r="D56" s="5" t="s">
        <v>243</v>
      </c>
      <c r="E56">
        <v>2020</v>
      </c>
      <c r="F56" s="5">
        <v>23</v>
      </c>
      <c r="G56" s="5">
        <v>4532546</v>
      </c>
      <c r="H56" s="5">
        <v>3682072</v>
      </c>
      <c r="I56" s="5">
        <v>2.3E-2</v>
      </c>
      <c r="J56" s="5">
        <v>7.2499999999999995E-2</v>
      </c>
      <c r="K56" s="15">
        <v>0.03</v>
      </c>
      <c r="L56" s="5">
        <v>771347.6</v>
      </c>
      <c r="M56" s="5">
        <v>14693</v>
      </c>
      <c r="N56" s="5">
        <v>2728</v>
      </c>
      <c r="O56" s="5">
        <v>7134</v>
      </c>
      <c r="P56" s="5">
        <v>52.497999999999998</v>
      </c>
      <c r="Q56" s="5">
        <v>39.024000000000001</v>
      </c>
      <c r="R56" s="5">
        <v>9.2499999999999999E-2</v>
      </c>
      <c r="AO56" s="7">
        <v>1382</v>
      </c>
      <c r="AP56" s="7"/>
      <c r="AQ56" s="7"/>
      <c r="AR56" s="7"/>
      <c r="AS56" s="7">
        <v>96</v>
      </c>
      <c r="AT56" s="7">
        <v>61</v>
      </c>
    </row>
    <row r="57" spans="1:46">
      <c r="A57" s="5" t="s">
        <v>244</v>
      </c>
      <c r="B57" s="5" t="s">
        <v>245</v>
      </c>
      <c r="C57" s="5" t="s">
        <v>91</v>
      </c>
      <c r="D57" s="5" t="s">
        <v>246</v>
      </c>
      <c r="E57" s="5">
        <v>2019</v>
      </c>
      <c r="F57" s="5">
        <v>193</v>
      </c>
      <c r="G57" s="5">
        <v>62676.160000000003</v>
      </c>
      <c r="H57" s="5">
        <v>53606.21</v>
      </c>
      <c r="I57" s="5">
        <v>2.2499999999999999E-2</v>
      </c>
      <c r="J57" s="5">
        <v>0.06</v>
      </c>
      <c r="K57" s="15">
        <v>0.03</v>
      </c>
      <c r="L57" s="5">
        <v>0</v>
      </c>
      <c r="M57" s="5">
        <v>119</v>
      </c>
      <c r="N57" s="7">
        <v>977</v>
      </c>
      <c r="O57" s="5">
        <v>181</v>
      </c>
      <c r="P57" s="5">
        <v>0</v>
      </c>
      <c r="Q57" s="5">
        <v>17.859000000000002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>
        <v>0</v>
      </c>
      <c r="AM57" s="5">
        <v>346</v>
      </c>
      <c r="AN57" s="5">
        <v>2</v>
      </c>
      <c r="AO57" s="7">
        <v>1312</v>
      </c>
      <c r="AP57" s="7"/>
      <c r="AQ57" s="7"/>
      <c r="AR57" s="7">
        <v>70</v>
      </c>
      <c r="AS57" s="7">
        <v>8</v>
      </c>
      <c r="AT57" s="7">
        <v>6</v>
      </c>
    </row>
    <row r="58" spans="1:46">
      <c r="A58" s="5" t="s">
        <v>244</v>
      </c>
      <c r="B58" s="5" t="s">
        <v>245</v>
      </c>
      <c r="C58" s="5" t="s">
        <v>91</v>
      </c>
      <c r="D58" s="5" t="s">
        <v>247</v>
      </c>
      <c r="E58">
        <v>2020</v>
      </c>
      <c r="F58" s="5">
        <v>193</v>
      </c>
      <c r="G58" s="5">
        <v>65469.05</v>
      </c>
      <c r="H58" s="5">
        <v>56953.13</v>
      </c>
      <c r="I58" s="5">
        <v>2.2499999999999999E-2</v>
      </c>
      <c r="J58" s="5">
        <v>5.6000000000000001E-2</v>
      </c>
      <c r="K58" s="15">
        <v>0.03</v>
      </c>
      <c r="L58" s="5">
        <v>0</v>
      </c>
      <c r="M58" s="5">
        <v>116</v>
      </c>
      <c r="N58" s="5">
        <v>1090</v>
      </c>
      <c r="O58" s="5">
        <v>183</v>
      </c>
      <c r="P58" s="5">
        <v>0</v>
      </c>
      <c r="Q58" s="5">
        <v>17.786000000000001</v>
      </c>
      <c r="R58" s="5"/>
      <c r="AO58" s="7"/>
      <c r="AP58" s="7"/>
      <c r="AQ58" s="7"/>
      <c r="AR58" s="7"/>
      <c r="AS58" s="7">
        <v>1114</v>
      </c>
      <c r="AT58" s="7">
        <v>671</v>
      </c>
    </row>
    <row r="59" spans="1:46">
      <c r="A59" s="5" t="s">
        <v>248</v>
      </c>
      <c r="B59" s="5" t="s">
        <v>249</v>
      </c>
      <c r="C59" s="5" t="s">
        <v>91</v>
      </c>
      <c r="D59" s="5" t="s">
        <v>250</v>
      </c>
      <c r="E59" s="5">
        <v>2019</v>
      </c>
      <c r="F59" s="5">
        <v>165</v>
      </c>
      <c r="G59" s="5">
        <v>3026853</v>
      </c>
      <c r="H59" s="5">
        <v>1929171</v>
      </c>
      <c r="I59" s="5">
        <v>2.5000000000000001E-2</v>
      </c>
      <c r="J59" s="5">
        <v>7.3800000000000004E-2</v>
      </c>
      <c r="K59" s="15">
        <v>0.03</v>
      </c>
      <c r="L59" s="5">
        <v>224726.5</v>
      </c>
      <c r="M59" s="5">
        <v>5794</v>
      </c>
      <c r="N59" s="7">
        <v>6</v>
      </c>
      <c r="O59" s="5">
        <v>11871</v>
      </c>
      <c r="P59" s="5">
        <v>48.344000000000001</v>
      </c>
      <c r="Q59" s="5">
        <v>19.902999999999999</v>
      </c>
      <c r="R59" s="5">
        <v>0.22244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>
        <v>0.04</v>
      </c>
      <c r="AM59" s="5">
        <v>20874</v>
      </c>
      <c r="AN59" s="5">
        <v>2</v>
      </c>
      <c r="AO59" s="7">
        <v>22241</v>
      </c>
      <c r="AP59" s="7">
        <v>8574</v>
      </c>
      <c r="AQ59" s="7"/>
      <c r="AR59" s="7">
        <v>2069</v>
      </c>
      <c r="AS59" s="7">
        <v>965</v>
      </c>
      <c r="AT59" s="7"/>
    </row>
    <row r="60" spans="1:46">
      <c r="A60" s="5" t="s">
        <v>248</v>
      </c>
      <c r="B60" s="5" t="s">
        <v>249</v>
      </c>
      <c r="C60" s="5" t="s">
        <v>119</v>
      </c>
      <c r="D60" s="5" t="s">
        <v>251</v>
      </c>
      <c r="E60">
        <v>2020</v>
      </c>
      <c r="F60" s="5">
        <v>154</v>
      </c>
      <c r="G60" s="5">
        <v>2904583</v>
      </c>
      <c r="H60" s="5">
        <v>1748663</v>
      </c>
      <c r="I60" s="5">
        <v>2.5000000000000001E-2</v>
      </c>
      <c r="J60" s="15">
        <v>7.0000000000000007E-2</v>
      </c>
      <c r="K60" s="15">
        <v>0.03</v>
      </c>
      <c r="L60" s="5">
        <v>245732.1</v>
      </c>
      <c r="M60" s="5">
        <v>5106</v>
      </c>
      <c r="N60" s="5">
        <v>1813</v>
      </c>
      <c r="O60" s="5">
        <v>11220</v>
      </c>
      <c r="P60" s="5">
        <v>53.155000000000001</v>
      </c>
      <c r="Q60" s="5">
        <v>20.663</v>
      </c>
      <c r="R60" s="5">
        <v>0.22797000000000001</v>
      </c>
      <c r="AO60" s="7">
        <v>6013</v>
      </c>
      <c r="AP60" s="7">
        <v>1110</v>
      </c>
      <c r="AQ60" s="7"/>
      <c r="AR60" s="7"/>
      <c r="AS60" s="7">
        <v>1008</v>
      </c>
      <c r="AT60" s="7"/>
    </row>
    <row r="61" spans="1:46">
      <c r="A61" s="5" t="s">
        <v>248</v>
      </c>
      <c r="B61" s="5" t="s">
        <v>252</v>
      </c>
      <c r="C61" s="5" t="s">
        <v>119</v>
      </c>
      <c r="D61" s="5" t="s">
        <v>253</v>
      </c>
      <c r="E61" s="5">
        <v>2019</v>
      </c>
      <c r="F61" s="5">
        <v>154</v>
      </c>
      <c r="G61" s="5">
        <v>3999736</v>
      </c>
      <c r="H61" s="5">
        <v>2829811</v>
      </c>
      <c r="I61" s="5">
        <v>2.5000000000000001E-2</v>
      </c>
      <c r="J61" s="5">
        <v>6.7500000000000004E-2</v>
      </c>
      <c r="K61" s="15">
        <v>0.03</v>
      </c>
      <c r="L61" s="5">
        <v>133730.1</v>
      </c>
      <c r="M61" s="5">
        <v>2488</v>
      </c>
      <c r="N61" s="7">
        <v>1707</v>
      </c>
      <c r="O61" s="5">
        <v>8893</v>
      </c>
      <c r="P61" s="5">
        <v>60.305999999999997</v>
      </c>
      <c r="Q61" s="5">
        <v>32.637</v>
      </c>
      <c r="R61" s="5">
        <v>0.1225</v>
      </c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>
        <v>6.9199999999999998E-2</v>
      </c>
      <c r="AM61" s="5">
        <v>12358</v>
      </c>
      <c r="AN61" s="5">
        <v>2</v>
      </c>
      <c r="AO61" s="7"/>
      <c r="AP61" s="7"/>
      <c r="AQ61" s="7"/>
      <c r="AR61" s="7"/>
      <c r="AS61" s="7"/>
      <c r="AT61" s="7"/>
    </row>
    <row r="62" spans="1:46">
      <c r="A62" s="5" t="s">
        <v>248</v>
      </c>
      <c r="B62" s="5" t="s">
        <v>252</v>
      </c>
      <c r="C62" s="5" t="s">
        <v>91</v>
      </c>
      <c r="D62" s="5" t="s">
        <v>254</v>
      </c>
      <c r="E62">
        <v>2020</v>
      </c>
      <c r="F62" s="5">
        <v>165</v>
      </c>
      <c r="G62" s="5">
        <v>3904132</v>
      </c>
      <c r="H62" s="5">
        <v>2601302</v>
      </c>
      <c r="I62" s="5">
        <v>2.5000000000000001E-2</v>
      </c>
      <c r="J62" s="5">
        <v>7.1499999999999994E-2</v>
      </c>
      <c r="K62" s="15">
        <v>0.03</v>
      </c>
      <c r="L62" s="5">
        <v>150648.29999999999</v>
      </c>
      <c r="M62" s="5">
        <v>2559</v>
      </c>
      <c r="N62" s="5">
        <v>6</v>
      </c>
      <c r="O62" s="5">
        <v>8874</v>
      </c>
      <c r="P62" s="5">
        <v>59.811</v>
      </c>
      <c r="Q62" s="5">
        <v>32.79</v>
      </c>
      <c r="R62" s="5">
        <v>0.1225</v>
      </c>
      <c r="AO62" s="7"/>
      <c r="AP62" s="7"/>
      <c r="AQ62" s="7"/>
      <c r="AR62" s="7"/>
      <c r="AS62" s="7"/>
      <c r="AT62" s="7"/>
    </row>
    <row r="63" spans="1:46">
      <c r="A63" s="5" t="s">
        <v>255</v>
      </c>
      <c r="B63" s="5" t="s">
        <v>256</v>
      </c>
      <c r="C63" s="5" t="s">
        <v>114</v>
      </c>
      <c r="D63" s="5" t="s">
        <v>257</v>
      </c>
      <c r="E63" s="5">
        <v>2019</v>
      </c>
      <c r="F63" s="5">
        <v>24</v>
      </c>
      <c r="G63" s="15"/>
      <c r="H63" s="15"/>
      <c r="I63" s="15">
        <v>2.5000000000000001E-2</v>
      </c>
      <c r="J63" s="15">
        <v>7.0000000000000007E-2</v>
      </c>
      <c r="K63" s="15">
        <v>0.03</v>
      </c>
      <c r="L63" s="15"/>
      <c r="M63" s="15"/>
      <c r="N63" s="7">
        <v>264</v>
      </c>
      <c r="O63" s="15"/>
      <c r="P63" s="15"/>
      <c r="Q63" s="15"/>
      <c r="R63" s="1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>
        <v>0</v>
      </c>
      <c r="AM63" s="5"/>
      <c r="AN63" s="5">
        <v>5</v>
      </c>
      <c r="AO63" s="7">
        <v>3255</v>
      </c>
      <c r="AP63" s="7"/>
      <c r="AQ63" s="7"/>
      <c r="AR63" s="7"/>
      <c r="AS63" s="7">
        <v>500</v>
      </c>
      <c r="AT63" s="7"/>
    </row>
    <row r="64" spans="1:46">
      <c r="A64" s="5" t="s">
        <v>255</v>
      </c>
      <c r="B64" s="5" t="s">
        <v>256</v>
      </c>
      <c r="C64" s="5" t="s">
        <v>114</v>
      </c>
      <c r="D64" s="5" t="s">
        <v>258</v>
      </c>
      <c r="E64">
        <v>2020</v>
      </c>
      <c r="F64" s="5">
        <v>24</v>
      </c>
      <c r="G64" s="15"/>
      <c r="H64" s="15"/>
      <c r="I64" s="15">
        <v>2.5000000000000001E-2</v>
      </c>
      <c r="J64" s="15">
        <v>7.0000000000000007E-2</v>
      </c>
      <c r="K64" s="15">
        <v>0.03</v>
      </c>
      <c r="L64" s="15"/>
      <c r="M64" s="15"/>
      <c r="N64" s="5">
        <v>273</v>
      </c>
      <c r="O64" s="15"/>
      <c r="P64" s="15"/>
      <c r="Q64" s="15"/>
      <c r="R64" s="15"/>
      <c r="AO64" s="7">
        <v>6699</v>
      </c>
      <c r="AP64" s="7">
        <v>1425</v>
      </c>
      <c r="AQ64" s="7"/>
      <c r="AR64" s="7">
        <v>966</v>
      </c>
      <c r="AS64" s="7">
        <v>748</v>
      </c>
      <c r="AT64" s="7">
        <v>2157</v>
      </c>
    </row>
    <row r="65" spans="1:46">
      <c r="A65" t="s">
        <v>259</v>
      </c>
      <c r="B65" s="5" t="s">
        <v>260</v>
      </c>
      <c r="C65" t="s">
        <v>94</v>
      </c>
      <c r="D65" t="s">
        <v>261</v>
      </c>
      <c r="E65">
        <v>2018</v>
      </c>
      <c r="F65" s="5">
        <v>73</v>
      </c>
      <c r="G65" s="5">
        <v>40526.31</v>
      </c>
      <c r="H65" s="5">
        <v>24874</v>
      </c>
      <c r="I65" s="5">
        <v>2.5000000000000001E-2</v>
      </c>
      <c r="J65" s="8"/>
      <c r="K65" s="8"/>
      <c r="L65" s="5">
        <v>7966.0820000000003</v>
      </c>
      <c r="M65" s="5">
        <v>119</v>
      </c>
      <c r="N65" s="5">
        <v>5</v>
      </c>
      <c r="O65" s="5">
        <v>95</v>
      </c>
      <c r="P65" s="15"/>
      <c r="Q65" s="15"/>
      <c r="R65" s="15"/>
      <c r="AH65" s="5"/>
      <c r="AO65" s="7">
        <v>24218</v>
      </c>
      <c r="AP65" s="7">
        <v>4027</v>
      </c>
      <c r="AQ65" s="7"/>
      <c r="AR65" s="7"/>
      <c r="AS65" s="7">
        <v>9955</v>
      </c>
      <c r="AT65" s="7"/>
    </row>
    <row r="66" spans="1:46">
      <c r="A66" t="s">
        <v>259</v>
      </c>
      <c r="B66" s="5" t="s">
        <v>262</v>
      </c>
      <c r="C66" t="s">
        <v>97</v>
      </c>
      <c r="D66" t="s">
        <v>263</v>
      </c>
      <c r="E66">
        <v>2018</v>
      </c>
      <c r="F66" s="5">
        <v>21</v>
      </c>
      <c r="G66" s="5">
        <v>75095.34</v>
      </c>
      <c r="H66" s="5">
        <v>58589.68</v>
      </c>
      <c r="I66" s="5">
        <v>2.75E-2</v>
      </c>
      <c r="J66" s="8"/>
      <c r="K66" s="8"/>
      <c r="L66" s="5">
        <v>12669.72</v>
      </c>
      <c r="M66" s="5">
        <v>195</v>
      </c>
      <c r="N66" s="5">
        <v>12</v>
      </c>
      <c r="O66" s="5">
        <v>116</v>
      </c>
      <c r="P66" s="5">
        <v>37.65</v>
      </c>
      <c r="Q66" s="5">
        <v>66.099999999999994</v>
      </c>
      <c r="R66" s="5">
        <v>0.14199999999999999</v>
      </c>
      <c r="AH66" s="5">
        <v>0.17580000000000001</v>
      </c>
      <c r="AO66" s="7">
        <v>7029</v>
      </c>
      <c r="AP66" s="7"/>
      <c r="AQ66" s="7"/>
      <c r="AR66" s="7"/>
      <c r="AS66" s="7">
        <v>2812</v>
      </c>
      <c r="AT66" s="7"/>
    </row>
    <row r="67" spans="1:46">
      <c r="A67" t="s">
        <v>264</v>
      </c>
      <c r="B67" s="5" t="s">
        <v>265</v>
      </c>
      <c r="C67" t="s">
        <v>119</v>
      </c>
      <c r="D67" t="s">
        <v>266</v>
      </c>
      <c r="E67">
        <v>2018</v>
      </c>
      <c r="F67" s="5">
        <v>39</v>
      </c>
      <c r="G67" s="5">
        <v>1194731</v>
      </c>
      <c r="H67" s="5">
        <v>1437725</v>
      </c>
      <c r="I67" s="5">
        <v>0.03</v>
      </c>
      <c r="J67" s="8"/>
      <c r="K67" s="8"/>
      <c r="L67" s="5">
        <v>110972</v>
      </c>
      <c r="M67" s="5">
        <v>1043</v>
      </c>
      <c r="N67" s="5">
        <v>115</v>
      </c>
      <c r="O67" s="5">
        <v>1066</v>
      </c>
      <c r="P67" s="5">
        <v>40</v>
      </c>
      <c r="Q67" s="5">
        <v>67</v>
      </c>
      <c r="R67" s="5">
        <v>0.19589999999999999</v>
      </c>
      <c r="AH67" s="5">
        <v>0.32500000000000001</v>
      </c>
      <c r="AO67" s="7"/>
      <c r="AP67" s="7"/>
      <c r="AQ67" s="7"/>
      <c r="AR67" s="7"/>
      <c r="AS67" s="7">
        <v>83</v>
      </c>
      <c r="AT67" s="7"/>
    </row>
    <row r="68" spans="1:46">
      <c r="A68" s="5" t="s">
        <v>267</v>
      </c>
      <c r="B68" s="5" t="s">
        <v>268</v>
      </c>
      <c r="C68" s="5" t="s">
        <v>94</v>
      </c>
      <c r="D68" s="5" t="s">
        <v>269</v>
      </c>
      <c r="E68" s="5">
        <v>2019</v>
      </c>
      <c r="F68" s="5">
        <v>194</v>
      </c>
      <c r="G68" s="5">
        <v>60135.86</v>
      </c>
      <c r="H68" s="5">
        <v>52951.94</v>
      </c>
      <c r="I68" s="5">
        <v>3.7499999999999999E-2</v>
      </c>
      <c r="J68" s="5">
        <v>7.0000000000000007E-2</v>
      </c>
      <c r="K68" s="15">
        <v>0.03</v>
      </c>
      <c r="L68" s="5">
        <v>8424.223</v>
      </c>
      <c r="M68" s="5">
        <v>154</v>
      </c>
      <c r="N68" s="7">
        <v>11</v>
      </c>
      <c r="O68" s="5">
        <v>112</v>
      </c>
      <c r="P68" s="5">
        <v>54.703000000000003</v>
      </c>
      <c r="Q68" s="5">
        <v>34.752000000000002</v>
      </c>
      <c r="R68" s="5">
        <v>0.16885</v>
      </c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6.3149999999999998E-2</v>
      </c>
      <c r="AM68" s="5">
        <v>272</v>
      </c>
      <c r="AN68" s="5">
        <v>2</v>
      </c>
      <c r="AO68" s="7">
        <v>4274</v>
      </c>
      <c r="AP68" s="7">
        <v>508</v>
      </c>
      <c r="AQ68" s="7"/>
      <c r="AR68" s="7"/>
      <c r="AS68" s="7">
        <v>2561</v>
      </c>
      <c r="AT68" s="7"/>
    </row>
    <row r="69" spans="1:46">
      <c r="A69" s="5" t="s">
        <v>267</v>
      </c>
      <c r="B69" s="5" t="s">
        <v>268</v>
      </c>
      <c r="C69" s="5" t="s">
        <v>94</v>
      </c>
      <c r="D69" s="5" t="s">
        <v>270</v>
      </c>
      <c r="E69">
        <v>2020</v>
      </c>
      <c r="F69" s="5">
        <v>194</v>
      </c>
      <c r="G69" s="5">
        <v>61765.1</v>
      </c>
      <c r="H69" s="5">
        <v>55227.42</v>
      </c>
      <c r="I69" s="5">
        <v>3.7499999999999999E-2</v>
      </c>
      <c r="J69" s="5">
        <v>7.0000000000000007E-2</v>
      </c>
      <c r="K69" s="15">
        <v>0.03</v>
      </c>
      <c r="L69" s="5">
        <v>8506.1810000000005</v>
      </c>
      <c r="M69" s="5">
        <v>153</v>
      </c>
      <c r="N69" s="5">
        <v>141</v>
      </c>
      <c r="O69" s="5">
        <v>114</v>
      </c>
      <c r="P69" s="5">
        <v>55.595999999999997</v>
      </c>
      <c r="Q69" s="5">
        <v>35.676000000000002</v>
      </c>
      <c r="R69" s="5"/>
      <c r="AO69" s="7">
        <v>3952</v>
      </c>
      <c r="AP69" s="7">
        <v>285</v>
      </c>
      <c r="AQ69" s="7"/>
      <c r="AR69" s="7"/>
      <c r="AS69" s="7">
        <v>647</v>
      </c>
      <c r="AT69" s="7">
        <v>2627</v>
      </c>
    </row>
    <row r="70" spans="1:46">
      <c r="A70" s="5" t="s">
        <v>271</v>
      </c>
      <c r="B70" s="5" t="s">
        <v>272</v>
      </c>
      <c r="C70" s="5" t="s">
        <v>91</v>
      </c>
      <c r="D70" s="5" t="s">
        <v>273</v>
      </c>
      <c r="E70" s="5">
        <v>2019</v>
      </c>
      <c r="F70" s="5">
        <v>170</v>
      </c>
      <c r="G70" s="5">
        <v>1503521</v>
      </c>
      <c r="H70" s="5">
        <v>1068807</v>
      </c>
      <c r="I70" s="5">
        <v>2.5000000000000001E-2</v>
      </c>
      <c r="J70" s="5">
        <v>7.3749999999999996E-2</v>
      </c>
      <c r="K70" s="15">
        <v>0.03</v>
      </c>
      <c r="L70" s="5">
        <v>147708.6</v>
      </c>
      <c r="M70" s="5">
        <v>2110</v>
      </c>
      <c r="N70" s="7">
        <v>6652</v>
      </c>
      <c r="O70" s="5">
        <v>3193</v>
      </c>
      <c r="P70" s="5">
        <v>70.004000000000005</v>
      </c>
      <c r="Q70" s="5">
        <v>36.417999999999999</v>
      </c>
      <c r="R70" s="5">
        <v>0.33660000000000001</v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>
        <v>9.4390000000000002E-2</v>
      </c>
      <c r="AM70" s="5">
        <v>5567</v>
      </c>
      <c r="AN70" s="5">
        <v>2</v>
      </c>
      <c r="AO70" s="7">
        <v>3632</v>
      </c>
      <c r="AP70" s="7">
        <v>347</v>
      </c>
      <c r="AQ70" s="7"/>
      <c r="AR70" s="7">
        <v>120</v>
      </c>
      <c r="AS70" s="7">
        <v>2489</v>
      </c>
      <c r="AT70" s="7">
        <v>2742</v>
      </c>
    </row>
    <row r="71" spans="1:46">
      <c r="A71" s="5" t="s">
        <v>271</v>
      </c>
      <c r="B71" s="5" t="s">
        <v>272</v>
      </c>
      <c r="C71" s="5" t="s">
        <v>91</v>
      </c>
      <c r="D71" s="5" t="s">
        <v>274</v>
      </c>
      <c r="E71">
        <v>2020</v>
      </c>
      <c r="F71" s="5">
        <v>170</v>
      </c>
      <c r="G71" s="5">
        <v>1593662</v>
      </c>
      <c r="H71" s="5">
        <v>1059232</v>
      </c>
      <c r="I71" s="5">
        <v>2.4E-2</v>
      </c>
      <c r="J71" s="5">
        <v>7.2499999999999995E-2</v>
      </c>
      <c r="K71" s="15">
        <v>0.03</v>
      </c>
      <c r="L71" s="5">
        <v>147405</v>
      </c>
      <c r="M71" s="5">
        <v>2122</v>
      </c>
      <c r="N71" s="5">
        <v>7059</v>
      </c>
      <c r="O71" s="5">
        <v>3231</v>
      </c>
      <c r="P71" s="5">
        <v>69.465000000000003</v>
      </c>
      <c r="Q71" s="5">
        <v>36.314</v>
      </c>
      <c r="R71" s="5">
        <v>0.36840000000000001</v>
      </c>
      <c r="AO71" s="7">
        <v>2539</v>
      </c>
      <c r="AP71" s="7">
        <v>357</v>
      </c>
      <c r="AQ71" s="7"/>
      <c r="AR71" s="7">
        <v>57</v>
      </c>
      <c r="AS71" s="7">
        <v>328</v>
      </c>
      <c r="AT71" s="7">
        <v>151</v>
      </c>
    </row>
    <row r="72" spans="1:46">
      <c r="A72" s="5" t="s">
        <v>26</v>
      </c>
      <c r="B72" s="5" t="s">
        <v>275</v>
      </c>
      <c r="C72" s="5" t="s">
        <v>94</v>
      </c>
      <c r="D72" s="5" t="s">
        <v>124</v>
      </c>
      <c r="E72" s="5">
        <v>2019</v>
      </c>
      <c r="F72" s="5">
        <v>30</v>
      </c>
      <c r="G72" s="5">
        <v>5057759</v>
      </c>
      <c r="H72" s="5">
        <v>4190934</v>
      </c>
      <c r="I72" s="5">
        <v>0.03</v>
      </c>
      <c r="J72" s="5">
        <v>7.2499999999999995E-2</v>
      </c>
      <c r="K72" s="15">
        <v>0.03</v>
      </c>
      <c r="L72" s="5">
        <v>272498</v>
      </c>
      <c r="M72" s="5">
        <v>3914</v>
      </c>
      <c r="N72" s="7">
        <v>43</v>
      </c>
      <c r="O72" s="5">
        <v>3526</v>
      </c>
      <c r="P72" s="5">
        <v>69.620999999999995</v>
      </c>
      <c r="Q72" s="5">
        <v>51.847999999999999</v>
      </c>
      <c r="R72" s="5">
        <v>0.36249999999999999</v>
      </c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>
        <v>5.0500000000000003E-2</v>
      </c>
      <c r="AM72" s="5">
        <v>7451</v>
      </c>
      <c r="AN72" s="5">
        <v>2</v>
      </c>
      <c r="AO72" s="7"/>
      <c r="AP72" s="7"/>
      <c r="AQ72" s="7"/>
      <c r="AR72" s="7"/>
      <c r="AS72" s="7">
        <v>178</v>
      </c>
      <c r="AT72" s="7"/>
    </row>
    <row r="73" spans="1:46">
      <c r="A73" s="5" t="s">
        <v>26</v>
      </c>
      <c r="B73" s="5" t="s">
        <v>275</v>
      </c>
      <c r="C73" s="5" t="s">
        <v>94</v>
      </c>
      <c r="D73" s="5" t="s">
        <v>276</v>
      </c>
      <c r="E73">
        <v>2020</v>
      </c>
      <c r="F73" s="5">
        <v>30</v>
      </c>
      <c r="G73" s="5">
        <v>4932307</v>
      </c>
      <c r="H73" s="5">
        <v>4251851</v>
      </c>
      <c r="I73" s="5">
        <v>2.5000000000000001E-2</v>
      </c>
      <c r="J73" s="5">
        <v>7.2499999999999995E-2</v>
      </c>
      <c r="K73" s="15">
        <v>0.03</v>
      </c>
      <c r="L73" s="5">
        <v>259235</v>
      </c>
      <c r="M73" s="5">
        <v>3703</v>
      </c>
      <c r="N73" s="5">
        <v>49</v>
      </c>
      <c r="O73" s="5">
        <v>3410</v>
      </c>
      <c r="P73" s="5">
        <v>65.983000000000004</v>
      </c>
      <c r="Q73" s="5">
        <v>52.508000000000003</v>
      </c>
      <c r="R73" s="5">
        <v>0.308</v>
      </c>
      <c r="AO73" s="7"/>
      <c r="AP73" s="7"/>
      <c r="AQ73" s="7"/>
      <c r="AR73" s="7"/>
      <c r="AS73" s="7"/>
      <c r="AT73" s="7"/>
    </row>
    <row r="74" spans="1:46">
      <c r="A74" s="5" t="s">
        <v>26</v>
      </c>
      <c r="B74" s="5" t="s">
        <v>125</v>
      </c>
      <c r="C74" s="5" t="s">
        <v>91</v>
      </c>
      <c r="D74" s="5" t="s">
        <v>126</v>
      </c>
      <c r="E74" s="5">
        <v>2019</v>
      </c>
      <c r="F74" s="5">
        <v>204</v>
      </c>
      <c r="G74" s="5">
        <v>5091145</v>
      </c>
      <c r="H74" s="5">
        <v>3019255</v>
      </c>
      <c r="I74" s="5">
        <v>2.2499999999999999E-2</v>
      </c>
      <c r="J74" s="5">
        <v>7.0000000000000007E-2</v>
      </c>
      <c r="K74" s="15">
        <v>0.03</v>
      </c>
      <c r="L74" s="5">
        <v>636463</v>
      </c>
      <c r="M74" s="5">
        <v>11507</v>
      </c>
      <c r="N74" s="7">
        <v>82</v>
      </c>
      <c r="O74" s="5">
        <v>11110</v>
      </c>
      <c r="P74" s="5">
        <v>55.311</v>
      </c>
      <c r="Q74" s="5">
        <v>23.609000000000002</v>
      </c>
      <c r="R74" s="5">
        <v>0.28804000000000002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>
        <v>3.015E-2</v>
      </c>
      <c r="AM74" s="5">
        <v>26226</v>
      </c>
      <c r="AN74" s="5">
        <v>2</v>
      </c>
      <c r="AO74" s="7">
        <v>797</v>
      </c>
      <c r="AP74" s="7">
        <v>191</v>
      </c>
      <c r="AQ74" s="7"/>
      <c r="AR74" s="7"/>
      <c r="AS74" s="7">
        <v>27</v>
      </c>
      <c r="AT74" s="7"/>
    </row>
    <row r="75" spans="1:46">
      <c r="A75" s="5" t="s">
        <v>26</v>
      </c>
      <c r="B75" s="5" t="s">
        <v>125</v>
      </c>
      <c r="C75" s="5" t="s">
        <v>91</v>
      </c>
      <c r="D75" s="5" t="s">
        <v>277</v>
      </c>
      <c r="E75">
        <v>2020</v>
      </c>
      <c r="F75" s="5">
        <v>204</v>
      </c>
      <c r="G75" s="5">
        <v>5196347</v>
      </c>
      <c r="H75" s="5">
        <v>3074339</v>
      </c>
      <c r="I75" s="5">
        <v>2.2499999999999999E-2</v>
      </c>
      <c r="J75" s="5">
        <v>7.0000000000000007E-2</v>
      </c>
      <c r="K75" s="15">
        <v>0.03</v>
      </c>
      <c r="L75" s="5">
        <v>657876</v>
      </c>
      <c r="M75" s="5">
        <v>11594</v>
      </c>
      <c r="N75" s="5">
        <v>83</v>
      </c>
      <c r="O75" s="5">
        <v>11373</v>
      </c>
      <c r="P75" s="5">
        <v>56.743000000000002</v>
      </c>
      <c r="Q75" s="5">
        <v>23.683</v>
      </c>
      <c r="R75" s="5">
        <v>0.27809</v>
      </c>
      <c r="AO75" s="7">
        <v>2975</v>
      </c>
      <c r="AP75" s="7">
        <v>782</v>
      </c>
      <c r="AQ75" s="7"/>
      <c r="AR75" s="7"/>
      <c r="AS75" s="7">
        <v>148</v>
      </c>
      <c r="AT75" s="7">
        <v>792</v>
      </c>
    </row>
    <row r="76" spans="1:46">
      <c r="A76" s="5" t="s">
        <v>26</v>
      </c>
      <c r="B76" s="5" t="s">
        <v>127</v>
      </c>
      <c r="C76" s="5" t="s">
        <v>97</v>
      </c>
      <c r="D76" s="5" t="s">
        <v>128</v>
      </c>
      <c r="E76" s="5">
        <v>2019</v>
      </c>
      <c r="F76" s="5">
        <v>208</v>
      </c>
      <c r="G76" s="5">
        <v>6655143</v>
      </c>
      <c r="H76" s="5">
        <v>5434933</v>
      </c>
      <c r="I76" s="5">
        <v>2.75E-2</v>
      </c>
      <c r="J76" s="5">
        <v>7.0000000000000007E-2</v>
      </c>
      <c r="K76" s="15">
        <v>0.03</v>
      </c>
      <c r="L76" s="5">
        <v>454696</v>
      </c>
      <c r="M76" s="5">
        <v>5282</v>
      </c>
      <c r="N76" s="7">
        <v>196</v>
      </c>
      <c r="O76" s="5">
        <v>4494</v>
      </c>
      <c r="P76" s="5">
        <v>86.084000000000003</v>
      </c>
      <c r="Q76" s="5">
        <v>52.097999999999999</v>
      </c>
      <c r="R76" s="5">
        <v>0.31840000000000002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>
        <v>0.105</v>
      </c>
      <c r="AM76" s="5">
        <v>9819</v>
      </c>
      <c r="AN76" s="5">
        <v>2</v>
      </c>
      <c r="AO76" s="7">
        <v>1358</v>
      </c>
      <c r="AP76" s="7">
        <v>250</v>
      </c>
      <c r="AQ76" s="7"/>
      <c r="AR76" s="7"/>
      <c r="AS76" s="7">
        <v>35</v>
      </c>
      <c r="AT76" s="7"/>
    </row>
    <row r="77" spans="1:46">
      <c r="A77" s="5" t="s">
        <v>26</v>
      </c>
      <c r="B77" s="5" t="s">
        <v>127</v>
      </c>
      <c r="C77" s="5" t="s">
        <v>97</v>
      </c>
      <c r="D77" s="5" t="s">
        <v>278</v>
      </c>
      <c r="E77">
        <v>2020</v>
      </c>
      <c r="F77" s="5">
        <v>208</v>
      </c>
      <c r="G77" s="5">
        <v>6835682</v>
      </c>
      <c r="H77" s="5">
        <v>5631533</v>
      </c>
      <c r="I77" s="5">
        <v>2.75E-2</v>
      </c>
      <c r="J77" s="5">
        <v>7.0000000000000007E-2</v>
      </c>
      <c r="K77" s="15">
        <v>0.03</v>
      </c>
      <c r="L77" s="5">
        <v>471903</v>
      </c>
      <c r="M77" s="5">
        <v>5319</v>
      </c>
      <c r="N77" s="5">
        <v>156</v>
      </c>
      <c r="O77" s="5">
        <v>4622</v>
      </c>
      <c r="P77" s="5">
        <v>88.72</v>
      </c>
      <c r="Q77" s="5">
        <v>52.674999999999997</v>
      </c>
      <c r="R77" s="5">
        <v>0.31919999999999998</v>
      </c>
      <c r="AO77" s="7">
        <v>6852</v>
      </c>
      <c r="AP77" s="7"/>
      <c r="AQ77" s="7"/>
      <c r="AR77" s="7"/>
      <c r="AS77" s="7">
        <v>1264</v>
      </c>
      <c r="AT77" s="7"/>
    </row>
    <row r="78" spans="1:46">
      <c r="A78" t="s">
        <v>26</v>
      </c>
      <c r="B78" s="5" t="s">
        <v>127</v>
      </c>
      <c r="C78" t="s">
        <v>97</v>
      </c>
      <c r="D78" t="s">
        <v>279</v>
      </c>
      <c r="E78">
        <v>2018</v>
      </c>
      <c r="F78" s="5">
        <v>26</v>
      </c>
      <c r="G78" s="5">
        <v>6463872</v>
      </c>
      <c r="H78" s="5">
        <v>5128835</v>
      </c>
      <c r="I78" s="5">
        <v>2.75E-2</v>
      </c>
      <c r="L78" s="5">
        <v>438396</v>
      </c>
      <c r="M78" s="5">
        <v>5226</v>
      </c>
      <c r="N78" s="5">
        <v>29</v>
      </c>
      <c r="O78" s="5">
        <v>4367</v>
      </c>
      <c r="P78" s="5">
        <v>41.6</v>
      </c>
      <c r="Q78" s="5"/>
      <c r="R78" s="5">
        <v>0.31819999999999998</v>
      </c>
      <c r="AH78" s="5">
        <v>0.24010000000000001</v>
      </c>
      <c r="AO78" s="7">
        <v>6894</v>
      </c>
      <c r="AP78" s="7">
        <v>1506</v>
      </c>
      <c r="AQ78" s="7"/>
      <c r="AR78" s="7"/>
      <c r="AS78" s="7">
        <v>1044</v>
      </c>
      <c r="AT78" s="7"/>
    </row>
    <row r="79" spans="1:46">
      <c r="A79" s="5" t="s">
        <v>28</v>
      </c>
      <c r="B79" s="5" t="s">
        <v>280</v>
      </c>
      <c r="C79" s="5" t="s">
        <v>91</v>
      </c>
      <c r="D79" s="5" t="s">
        <v>281</v>
      </c>
      <c r="E79" s="5">
        <v>2019</v>
      </c>
      <c r="F79" s="5">
        <v>159</v>
      </c>
      <c r="G79" s="5">
        <v>3286313</v>
      </c>
      <c r="H79" s="5">
        <v>2008173</v>
      </c>
      <c r="I79" s="5">
        <v>2.5000000000000001E-2</v>
      </c>
      <c r="J79" s="5">
        <v>6.9000000000000006E-2</v>
      </c>
      <c r="K79" s="15">
        <v>0.03</v>
      </c>
      <c r="L79" s="5">
        <v>249982.9</v>
      </c>
      <c r="M79" s="5">
        <v>3937</v>
      </c>
      <c r="N79" s="7">
        <v>0</v>
      </c>
      <c r="O79" s="5">
        <v>5215</v>
      </c>
      <c r="P79" s="5">
        <v>63.496000000000002</v>
      </c>
      <c r="Q79" s="5">
        <v>36.095999999999997</v>
      </c>
      <c r="R79" s="5">
        <v>0.4279</v>
      </c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>
        <v>9.1200000000000003E-2</v>
      </c>
      <c r="AM79" s="5">
        <v>9348</v>
      </c>
      <c r="AN79" s="5">
        <v>2</v>
      </c>
      <c r="AO79" s="7">
        <v>3897</v>
      </c>
      <c r="AP79" s="7">
        <v>1515</v>
      </c>
      <c r="AQ79" s="7"/>
      <c r="AR79" s="7"/>
      <c r="AS79" s="7"/>
      <c r="AT79" s="7"/>
    </row>
    <row r="80" spans="1:46">
      <c r="A80" s="5" t="s">
        <v>28</v>
      </c>
      <c r="B80" s="5" t="s">
        <v>280</v>
      </c>
      <c r="C80" s="5" t="s">
        <v>91</v>
      </c>
      <c r="D80" s="5" t="s">
        <v>282</v>
      </c>
      <c r="E80">
        <v>2020</v>
      </c>
      <c r="F80" s="5">
        <v>159</v>
      </c>
      <c r="G80" s="5">
        <v>3389704</v>
      </c>
      <c r="H80" s="5">
        <v>2042780</v>
      </c>
      <c r="I80" s="15">
        <v>2.5000000000000001E-2</v>
      </c>
      <c r="J80" s="5">
        <v>6.9000000000000006E-2</v>
      </c>
      <c r="K80" s="15">
        <v>0.03</v>
      </c>
      <c r="L80" s="5">
        <v>246864.1</v>
      </c>
      <c r="M80" s="5">
        <v>3663</v>
      </c>
      <c r="N80" s="5">
        <v>19</v>
      </c>
      <c r="O80" s="5">
        <v>5218</v>
      </c>
      <c r="P80" s="5">
        <v>67.394000000000005</v>
      </c>
      <c r="Q80" s="5">
        <v>35.712000000000003</v>
      </c>
      <c r="R80" s="5">
        <v>0.45979999999999999</v>
      </c>
      <c r="AO80" s="7">
        <v>2596</v>
      </c>
      <c r="AP80" s="7">
        <v>735</v>
      </c>
      <c r="AQ80" s="7"/>
      <c r="AR80" s="7">
        <v>305</v>
      </c>
      <c r="AS80" s="7">
        <v>12</v>
      </c>
      <c r="AT80" s="7"/>
    </row>
    <row r="81" spans="1:46">
      <c r="A81" s="5" t="s">
        <v>28</v>
      </c>
      <c r="B81" s="5" t="s">
        <v>283</v>
      </c>
      <c r="C81" s="5" t="s">
        <v>119</v>
      </c>
      <c r="D81" s="5" t="s">
        <v>284</v>
      </c>
      <c r="E81" s="5">
        <v>2019</v>
      </c>
      <c r="F81" s="5">
        <v>212</v>
      </c>
      <c r="G81" s="5">
        <v>4036925</v>
      </c>
      <c r="H81" s="5">
        <v>1946967</v>
      </c>
      <c r="I81" s="5">
        <v>2.5000000000000001E-2</v>
      </c>
      <c r="J81" s="5">
        <v>7.0000000000000007E-2</v>
      </c>
      <c r="K81" s="15">
        <v>0.03</v>
      </c>
      <c r="L81" s="5">
        <v>174125</v>
      </c>
      <c r="M81" s="5">
        <v>2301</v>
      </c>
      <c r="N81" s="7">
        <v>526</v>
      </c>
      <c r="O81" s="5">
        <v>3045</v>
      </c>
      <c r="P81" s="5">
        <v>75.921000000000006</v>
      </c>
      <c r="Q81" s="5">
        <v>63.365000000000002</v>
      </c>
      <c r="R81" s="5">
        <v>0.8327</v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>
        <v>0.1</v>
      </c>
      <c r="AM81" s="5">
        <v>5428</v>
      </c>
      <c r="AN81" s="5">
        <v>2</v>
      </c>
      <c r="AO81" s="7">
        <v>2379</v>
      </c>
      <c r="AP81" s="7">
        <v>592</v>
      </c>
      <c r="AQ81" s="7"/>
      <c r="AR81" s="7"/>
      <c r="AS81" s="7">
        <v>413</v>
      </c>
      <c r="AT81" s="7">
        <v>299</v>
      </c>
    </row>
    <row r="82" spans="1:46">
      <c r="A82" s="5" t="s">
        <v>28</v>
      </c>
      <c r="B82" s="5" t="s">
        <v>283</v>
      </c>
      <c r="C82" s="5" t="s">
        <v>119</v>
      </c>
      <c r="D82" s="5" t="s">
        <v>285</v>
      </c>
      <c r="E82">
        <v>2020</v>
      </c>
      <c r="F82" s="5">
        <v>212</v>
      </c>
      <c r="G82" s="5">
        <v>4253525</v>
      </c>
      <c r="H82" s="5">
        <v>2041049</v>
      </c>
      <c r="I82" s="5">
        <v>2.2499999999999999E-2</v>
      </c>
      <c r="J82" s="5">
        <v>6.9000000000000006E-2</v>
      </c>
      <c r="K82" s="15">
        <v>0.03</v>
      </c>
      <c r="L82" s="5">
        <v>174186</v>
      </c>
      <c r="M82" s="5">
        <v>2236</v>
      </c>
      <c r="N82" s="5">
        <v>668</v>
      </c>
      <c r="O82" s="5">
        <v>3067</v>
      </c>
      <c r="P82" s="5">
        <v>78.093000000000004</v>
      </c>
      <c r="Q82" s="5">
        <v>59.256999999999998</v>
      </c>
      <c r="R82" s="5">
        <v>0.88229999999999997</v>
      </c>
      <c r="AO82" s="7">
        <v>253</v>
      </c>
      <c r="AP82" s="7"/>
      <c r="AQ82" s="7"/>
      <c r="AR82" s="7"/>
      <c r="AS82" s="7">
        <v>69</v>
      </c>
      <c r="AT82" s="7"/>
    </row>
    <row r="83" spans="1:46">
      <c r="A83" t="s">
        <v>28</v>
      </c>
      <c r="B83" s="5" t="s">
        <v>283</v>
      </c>
      <c r="C83" t="s">
        <v>119</v>
      </c>
      <c r="D83" t="s">
        <v>286</v>
      </c>
      <c r="E83">
        <v>2018</v>
      </c>
      <c r="F83" s="5">
        <v>11</v>
      </c>
      <c r="G83" s="5">
        <v>3880073</v>
      </c>
      <c r="H83" s="5">
        <v>1865496</v>
      </c>
      <c r="I83" s="5">
        <v>2.5000000000000001E-2</v>
      </c>
      <c r="L83" s="5">
        <v>162004</v>
      </c>
      <c r="M83" s="5">
        <v>2384</v>
      </c>
      <c r="N83" s="5">
        <v>82</v>
      </c>
      <c r="O83" s="5">
        <v>3010</v>
      </c>
      <c r="P83" s="5">
        <v>39.5</v>
      </c>
      <c r="Q83" s="5"/>
      <c r="R83" s="5">
        <v>0.84570000000000001</v>
      </c>
      <c r="AH83" s="5">
        <v>0.4642</v>
      </c>
      <c r="AO83" s="7">
        <v>10729</v>
      </c>
      <c r="AP83" s="7">
        <v>2100</v>
      </c>
      <c r="AQ83" s="7"/>
      <c r="AR83" s="7"/>
      <c r="AS83" s="7">
        <v>1147</v>
      </c>
      <c r="AT83" s="7">
        <v>11531</v>
      </c>
    </row>
    <row r="84" spans="1:46">
      <c r="A84" s="5" t="s">
        <v>287</v>
      </c>
      <c r="B84" s="5" t="s">
        <v>288</v>
      </c>
      <c r="C84" s="5" t="s">
        <v>91</v>
      </c>
      <c r="D84" s="5" t="s">
        <v>289</v>
      </c>
      <c r="E84" s="5">
        <v>2019</v>
      </c>
      <c r="F84" s="5">
        <v>202</v>
      </c>
      <c r="G84" s="5">
        <v>232307.3</v>
      </c>
      <c r="H84" s="5">
        <v>124335.1</v>
      </c>
      <c r="I84" s="15">
        <v>2.5000000000000001E-2</v>
      </c>
      <c r="J84" s="5">
        <v>7.3999999999999996E-2</v>
      </c>
      <c r="K84" s="15">
        <v>0.03</v>
      </c>
      <c r="L84" s="5">
        <v>37203.300000000003</v>
      </c>
      <c r="M84" s="5">
        <v>769</v>
      </c>
      <c r="N84" s="7">
        <v>3160</v>
      </c>
      <c r="O84" s="5"/>
      <c r="P84" s="5">
        <v>48.378999999999998</v>
      </c>
      <c r="Q84" s="5">
        <v>34.076000000000001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>
        <v>0</v>
      </c>
      <c r="AM84" s="5"/>
      <c r="AN84" s="5">
        <v>2</v>
      </c>
      <c r="AO84" s="7"/>
      <c r="AP84" s="7"/>
      <c r="AQ84" s="7"/>
      <c r="AR84" s="7"/>
      <c r="AS84" s="7">
        <v>393</v>
      </c>
      <c r="AT84" s="7"/>
    </row>
    <row r="85" spans="1:46">
      <c r="A85" s="5" t="s">
        <v>287</v>
      </c>
      <c r="B85" s="5" t="s">
        <v>288</v>
      </c>
      <c r="C85" s="5" t="s">
        <v>91</v>
      </c>
      <c r="D85" s="5" t="s">
        <v>290</v>
      </c>
      <c r="E85">
        <v>2020</v>
      </c>
      <c r="F85" s="5">
        <v>202</v>
      </c>
      <c r="G85" s="5">
        <v>253396.8</v>
      </c>
      <c r="H85" s="5">
        <v>129802.4</v>
      </c>
      <c r="I85" s="5">
        <v>0.03</v>
      </c>
      <c r="J85" s="15">
        <v>7.0000000000000007E-2</v>
      </c>
      <c r="K85" s="15">
        <v>0.03</v>
      </c>
      <c r="L85" s="5">
        <v>36917.72</v>
      </c>
      <c r="M85" s="5">
        <v>758</v>
      </c>
      <c r="N85" s="5">
        <v>3111</v>
      </c>
      <c r="O85" s="5">
        <v>416</v>
      </c>
      <c r="P85" s="5">
        <v>48.704000000000001</v>
      </c>
      <c r="Q85" s="5">
        <v>34.886000000000003</v>
      </c>
      <c r="R85" s="5">
        <v>0.32850000000000001</v>
      </c>
      <c r="AO85" s="7">
        <v>160</v>
      </c>
      <c r="AP85" s="7">
        <v>46</v>
      </c>
      <c r="AQ85" s="7">
        <v>46</v>
      </c>
      <c r="AR85" s="7">
        <v>1</v>
      </c>
      <c r="AS85" s="7">
        <v>2</v>
      </c>
      <c r="AT85" s="7"/>
    </row>
    <row r="86" spans="1:46">
      <c r="A86" t="s">
        <v>291</v>
      </c>
      <c r="B86" s="5" t="s">
        <v>292</v>
      </c>
      <c r="C86" t="s">
        <v>94</v>
      </c>
      <c r="D86" t="s">
        <v>293</v>
      </c>
      <c r="E86">
        <v>2018</v>
      </c>
      <c r="F86" s="5">
        <v>74</v>
      </c>
      <c r="G86" s="5">
        <v>756950.8</v>
      </c>
      <c r="H86" s="5">
        <v>535935.19999999995</v>
      </c>
      <c r="I86" s="5">
        <v>2.5000000000000001E-2</v>
      </c>
      <c r="L86" s="5">
        <v>66264.509999999995</v>
      </c>
      <c r="M86" s="5">
        <v>981</v>
      </c>
      <c r="N86" s="5">
        <v>7</v>
      </c>
      <c r="O86" s="5">
        <v>924</v>
      </c>
      <c r="P86" s="5">
        <v>40.090000000000003</v>
      </c>
      <c r="Q86" s="5"/>
      <c r="R86" s="5">
        <v>0.32540000000000002</v>
      </c>
      <c r="AH86" s="5">
        <v>0.253</v>
      </c>
      <c r="AO86" s="7"/>
      <c r="AP86" s="7"/>
      <c r="AQ86" s="7"/>
      <c r="AR86" s="7"/>
      <c r="AS86" s="7">
        <v>16</v>
      </c>
      <c r="AT86" s="7"/>
    </row>
    <row r="87" spans="1:46">
      <c r="A87" s="5" t="s">
        <v>294</v>
      </c>
      <c r="B87" s="5" t="s">
        <v>295</v>
      </c>
      <c r="C87" s="5" t="s">
        <v>91</v>
      </c>
      <c r="D87" s="5" t="s">
        <v>296</v>
      </c>
      <c r="E87" s="5">
        <v>2019</v>
      </c>
      <c r="F87" s="5">
        <v>175</v>
      </c>
      <c r="G87" s="5">
        <v>1380803</v>
      </c>
      <c r="H87" s="5">
        <v>1179563</v>
      </c>
      <c r="I87" s="5">
        <v>0.03</v>
      </c>
      <c r="J87" s="5">
        <v>7.4999999999999997E-2</v>
      </c>
      <c r="K87" s="15">
        <v>0.03</v>
      </c>
      <c r="L87" s="5">
        <v>171476.1</v>
      </c>
      <c r="M87" s="5">
        <v>3163</v>
      </c>
      <c r="N87" s="7">
        <v>0</v>
      </c>
      <c r="O87" s="5">
        <v>2526</v>
      </c>
      <c r="P87" s="5">
        <v>54.213000000000001</v>
      </c>
      <c r="Q87" s="5">
        <v>27.169</v>
      </c>
      <c r="R87" s="5">
        <v>0.15939999999999999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>
        <v>5.0099999999999999E-2</v>
      </c>
      <c r="AM87" s="5">
        <v>5881</v>
      </c>
      <c r="AN87" s="5">
        <v>2</v>
      </c>
      <c r="AO87" s="7">
        <v>3632</v>
      </c>
      <c r="AP87" s="7">
        <v>1322</v>
      </c>
      <c r="AQ87" s="7"/>
      <c r="AR87" s="7"/>
      <c r="AS87" s="7">
        <v>124</v>
      </c>
      <c r="AT87" s="7"/>
    </row>
    <row r="88" spans="1:46">
      <c r="A88" s="5" t="s">
        <v>291</v>
      </c>
      <c r="B88" s="5" t="s">
        <v>295</v>
      </c>
      <c r="C88" s="5" t="s">
        <v>91</v>
      </c>
      <c r="D88" s="5" t="s">
        <v>297</v>
      </c>
      <c r="E88">
        <v>2020</v>
      </c>
      <c r="F88" s="5">
        <v>175</v>
      </c>
      <c r="G88" s="5">
        <v>1420249</v>
      </c>
      <c r="H88" s="5">
        <v>1189659</v>
      </c>
      <c r="I88" s="5">
        <v>0.03</v>
      </c>
      <c r="J88" s="5">
        <v>7.4999999999999997E-2</v>
      </c>
      <c r="K88" s="15">
        <v>0.03</v>
      </c>
      <c r="L88" s="5">
        <v>170834.6</v>
      </c>
      <c r="M88" s="5">
        <v>3146</v>
      </c>
      <c r="N88" s="5">
        <v>0</v>
      </c>
      <c r="O88" s="5">
        <v>2591</v>
      </c>
      <c r="P88" s="5">
        <v>54.302</v>
      </c>
      <c r="Q88" s="5">
        <v>28.047000000000001</v>
      </c>
      <c r="R88" s="5">
        <v>0.17949999999999999</v>
      </c>
      <c r="AO88" s="7">
        <v>21386</v>
      </c>
      <c r="AP88" s="7">
        <v>3964</v>
      </c>
      <c r="AQ88" s="7">
        <v>3867</v>
      </c>
      <c r="AR88" s="7">
        <v>121</v>
      </c>
      <c r="AS88" s="7">
        <v>20139</v>
      </c>
      <c r="AT88" s="7"/>
    </row>
    <row r="89" spans="1:46">
      <c r="A89" s="5" t="s">
        <v>291</v>
      </c>
      <c r="B89" s="5" t="s">
        <v>298</v>
      </c>
      <c r="C89" s="5" t="s">
        <v>114</v>
      </c>
      <c r="D89" s="5" t="s">
        <v>299</v>
      </c>
      <c r="E89" s="5">
        <v>2019</v>
      </c>
      <c r="F89" s="5">
        <v>207</v>
      </c>
      <c r="G89" s="5">
        <v>1020122</v>
      </c>
      <c r="H89" s="5">
        <v>645373.19999999995</v>
      </c>
      <c r="I89" s="5">
        <v>2.75E-2</v>
      </c>
      <c r="J89" s="5">
        <v>7.7499999999999999E-2</v>
      </c>
      <c r="K89" s="15">
        <v>0.03</v>
      </c>
      <c r="L89" s="5">
        <v>217255.3</v>
      </c>
      <c r="M89" s="5">
        <v>4074</v>
      </c>
      <c r="N89" s="7">
        <v>0</v>
      </c>
      <c r="O89" s="5">
        <v>4145</v>
      </c>
      <c r="P89" s="5">
        <v>53.326999999999998</v>
      </c>
      <c r="Q89" s="5">
        <v>19.565000000000001</v>
      </c>
      <c r="R89" s="5">
        <v>0.12</v>
      </c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>
        <v>8.7999999999999995E-2</v>
      </c>
      <c r="AM89" s="5">
        <v>8748</v>
      </c>
      <c r="AN89" s="5">
        <v>5</v>
      </c>
      <c r="AO89" s="7">
        <v>10283</v>
      </c>
      <c r="AP89" s="7">
        <v>3404</v>
      </c>
      <c r="AQ89" s="7">
        <v>3092</v>
      </c>
      <c r="AR89" s="7"/>
      <c r="AS89" s="7">
        <v>801</v>
      </c>
      <c r="AT89" s="7"/>
    </row>
    <row r="90" spans="1:46">
      <c r="A90" s="5" t="s">
        <v>291</v>
      </c>
      <c r="B90" s="5" t="s">
        <v>298</v>
      </c>
      <c r="C90" s="5" t="s">
        <v>114</v>
      </c>
      <c r="D90" s="5" t="s">
        <v>300</v>
      </c>
      <c r="E90">
        <v>2020</v>
      </c>
      <c r="F90" s="5">
        <v>207</v>
      </c>
      <c r="G90" s="5">
        <v>997587.4</v>
      </c>
      <c r="H90" s="5">
        <v>663210.6</v>
      </c>
      <c r="I90" s="5">
        <v>2.2499999999999999E-2</v>
      </c>
      <c r="J90" s="5">
        <v>7.2499999999999995E-2</v>
      </c>
      <c r="K90" s="15">
        <v>0.03</v>
      </c>
      <c r="L90" s="5">
        <v>228084.6</v>
      </c>
      <c r="M90" s="5">
        <v>4108</v>
      </c>
      <c r="N90" s="5">
        <v>0</v>
      </c>
      <c r="O90" s="5">
        <v>4099</v>
      </c>
      <c r="P90" s="5">
        <v>55.521999999999998</v>
      </c>
      <c r="Q90" s="5">
        <v>19.574999999999999</v>
      </c>
      <c r="R90" s="5">
        <v>0.12</v>
      </c>
      <c r="AO90" s="7">
        <v>24293</v>
      </c>
      <c r="AP90" s="7">
        <v>3262</v>
      </c>
      <c r="AQ90" s="7"/>
      <c r="AR90" s="7"/>
      <c r="AS90" s="7">
        <v>10024</v>
      </c>
      <c r="AT90" s="7">
        <v>21260</v>
      </c>
    </row>
    <row r="91" spans="1:46">
      <c r="A91" t="s">
        <v>291</v>
      </c>
      <c r="B91" s="5" t="s">
        <v>301</v>
      </c>
      <c r="C91" t="s">
        <v>97</v>
      </c>
      <c r="D91" t="s">
        <v>302</v>
      </c>
      <c r="E91">
        <v>2018</v>
      </c>
      <c r="F91" s="5">
        <v>24</v>
      </c>
      <c r="G91" s="5">
        <v>1161789</v>
      </c>
      <c r="H91" s="5">
        <v>886676.4</v>
      </c>
      <c r="I91" s="5">
        <v>0.03</v>
      </c>
      <c r="J91" s="8"/>
      <c r="K91" s="8"/>
      <c r="L91" s="5">
        <v>91598</v>
      </c>
      <c r="M91" s="5">
        <v>1284</v>
      </c>
      <c r="N91" s="5">
        <v>33</v>
      </c>
      <c r="O91" s="5">
        <v>1332</v>
      </c>
      <c r="P91" s="5">
        <v>41.6</v>
      </c>
      <c r="Q91" s="5"/>
      <c r="R91" s="5">
        <v>0.30359999999999998</v>
      </c>
      <c r="AH91" s="5">
        <v>0.25979999999999998</v>
      </c>
      <c r="AO91" s="7">
        <v>3507</v>
      </c>
      <c r="AP91" s="7"/>
      <c r="AQ91" s="7"/>
      <c r="AR91" s="7"/>
      <c r="AS91" s="7">
        <v>225</v>
      </c>
      <c r="AT91" s="7"/>
    </row>
    <row r="92" spans="1:46">
      <c r="A92" s="5" t="s">
        <v>303</v>
      </c>
      <c r="B92" s="5" t="s">
        <v>304</v>
      </c>
      <c r="C92" s="5" t="s">
        <v>94</v>
      </c>
      <c r="D92" s="5" t="s">
        <v>305</v>
      </c>
      <c r="E92" s="5">
        <v>2019</v>
      </c>
      <c r="F92" s="5">
        <v>188</v>
      </c>
      <c r="G92" s="5">
        <v>92710.23</v>
      </c>
      <c r="H92" s="5">
        <v>44878.28</v>
      </c>
      <c r="I92" s="5">
        <v>2.75E-2</v>
      </c>
      <c r="J92" s="5">
        <v>7.0000000000000007E-2</v>
      </c>
      <c r="K92" s="15">
        <v>0.03</v>
      </c>
      <c r="L92" s="5">
        <v>0</v>
      </c>
      <c r="M92" s="5">
        <v>0</v>
      </c>
      <c r="N92" s="7">
        <v>8588</v>
      </c>
      <c r="O92" s="5">
        <v>276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>
        <v>0</v>
      </c>
      <c r="AM92" s="5">
        <v>276</v>
      </c>
      <c r="AN92" s="5">
        <v>2</v>
      </c>
      <c r="AO92" s="7">
        <v>1706</v>
      </c>
      <c r="AP92" s="7">
        <v>258</v>
      </c>
      <c r="AQ92" s="7"/>
      <c r="AR92" s="7">
        <v>145</v>
      </c>
      <c r="AS92" s="7">
        <v>27</v>
      </c>
      <c r="AT92" s="7">
        <v>116</v>
      </c>
    </row>
    <row r="93" spans="1:46">
      <c r="A93" s="5" t="s">
        <v>303</v>
      </c>
      <c r="B93" s="5" t="s">
        <v>304</v>
      </c>
      <c r="C93" s="5" t="s">
        <v>94</v>
      </c>
      <c r="D93" s="5" t="s">
        <v>306</v>
      </c>
      <c r="E93">
        <v>2020</v>
      </c>
      <c r="F93" s="5">
        <v>188</v>
      </c>
      <c r="G93" s="15"/>
      <c r="H93" s="15"/>
      <c r="I93" s="15">
        <v>2.5000000000000001E-2</v>
      </c>
      <c r="J93" s="15">
        <v>7.0000000000000007E-2</v>
      </c>
      <c r="K93" s="15">
        <v>0.03</v>
      </c>
      <c r="L93" s="5"/>
      <c r="M93" s="5"/>
      <c r="N93" s="5">
        <v>9207</v>
      </c>
      <c r="O93" s="5"/>
      <c r="P93" s="5"/>
      <c r="Q93" s="5"/>
      <c r="R93" s="5"/>
      <c r="AO93" s="7">
        <v>7552</v>
      </c>
      <c r="AP93" s="7"/>
      <c r="AQ93" s="7"/>
      <c r="AR93" s="7"/>
      <c r="AS93" s="7">
        <v>1710</v>
      </c>
      <c r="AT93" s="7"/>
    </row>
    <row r="94" spans="1:46">
      <c r="A94" s="5" t="s">
        <v>30</v>
      </c>
      <c r="B94" s="5" t="s">
        <v>129</v>
      </c>
      <c r="C94" s="5" t="s">
        <v>91</v>
      </c>
      <c r="D94" s="5" t="s">
        <v>130</v>
      </c>
      <c r="E94" s="5">
        <v>2019</v>
      </c>
      <c r="F94" s="5">
        <v>139</v>
      </c>
      <c r="G94" s="5">
        <v>20793421</v>
      </c>
      <c r="H94" s="5">
        <v>14818564</v>
      </c>
      <c r="I94" s="5">
        <v>0.03</v>
      </c>
      <c r="J94" s="5">
        <v>7.2499999999999995E-2</v>
      </c>
      <c r="K94" s="15">
        <v>0.03</v>
      </c>
      <c r="L94" s="5">
        <v>2225413</v>
      </c>
      <c r="M94" s="5">
        <v>26632</v>
      </c>
      <c r="N94" s="7">
        <v>523</v>
      </c>
      <c r="O94" s="5">
        <v>20034</v>
      </c>
      <c r="P94" s="5">
        <v>83.561999999999998</v>
      </c>
      <c r="Q94" s="5">
        <v>47.298999999999999</v>
      </c>
      <c r="R94" s="5">
        <v>0.15090000000000001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>
        <v>0.10630000000000001</v>
      </c>
      <c r="AM94" s="5">
        <v>55254</v>
      </c>
      <c r="AN94" s="5">
        <v>2</v>
      </c>
      <c r="AO94" s="7">
        <v>3719</v>
      </c>
      <c r="AP94" s="7">
        <v>1163</v>
      </c>
      <c r="AQ94" s="7"/>
      <c r="AR94" s="7">
        <v>107</v>
      </c>
      <c r="AS94" s="7">
        <v>241</v>
      </c>
      <c r="AT94" s="7">
        <v>442</v>
      </c>
    </row>
    <row r="95" spans="1:46">
      <c r="A95" s="5" t="s">
        <v>30</v>
      </c>
      <c r="B95" s="5" t="s">
        <v>129</v>
      </c>
      <c r="C95" s="5" t="s">
        <v>91</v>
      </c>
      <c r="D95" s="5" t="s">
        <v>307</v>
      </c>
      <c r="E95">
        <v>2020</v>
      </c>
      <c r="F95" s="5">
        <v>139</v>
      </c>
      <c r="G95" s="5">
        <v>22527195</v>
      </c>
      <c r="H95" s="5">
        <v>15630103</v>
      </c>
      <c r="I95" s="5">
        <v>2.75E-2</v>
      </c>
      <c r="J95" s="5">
        <v>7.0000000000000007E-2</v>
      </c>
      <c r="K95" s="15">
        <v>0.03</v>
      </c>
      <c r="L95" s="5">
        <v>2445017</v>
      </c>
      <c r="M95" s="5">
        <v>27490</v>
      </c>
      <c r="N95" s="5">
        <v>575</v>
      </c>
      <c r="O95" s="5">
        <v>20423</v>
      </c>
      <c r="P95" s="5">
        <v>88.941999999999993</v>
      </c>
      <c r="Q95" s="5">
        <v>49.195999999999998</v>
      </c>
      <c r="R95" s="5">
        <v>0.18740000000000001</v>
      </c>
      <c r="AO95" s="7">
        <v>8966</v>
      </c>
      <c r="AP95" s="7">
        <v>1290</v>
      </c>
      <c r="AQ95" s="7"/>
      <c r="AR95" s="7"/>
      <c r="AS95" s="7">
        <v>3372</v>
      </c>
      <c r="AT95" s="7">
        <v>2855</v>
      </c>
    </row>
    <row r="96" spans="1:46">
      <c r="A96" s="5" t="s">
        <v>30</v>
      </c>
      <c r="B96" s="5" t="s">
        <v>131</v>
      </c>
      <c r="C96" s="5" t="s">
        <v>119</v>
      </c>
      <c r="D96" s="5" t="s">
        <v>132</v>
      </c>
      <c r="E96" s="5">
        <v>2019</v>
      </c>
      <c r="F96" s="5">
        <v>140</v>
      </c>
      <c r="G96" s="5">
        <v>22474125</v>
      </c>
      <c r="H96" s="5">
        <v>21037711</v>
      </c>
      <c r="I96" s="5">
        <v>0.03</v>
      </c>
      <c r="J96" s="5">
        <v>7.2499999999999995E-2</v>
      </c>
      <c r="K96" s="15">
        <v>0.03</v>
      </c>
      <c r="L96" s="5">
        <v>1583808</v>
      </c>
      <c r="M96" s="5">
        <v>13535</v>
      </c>
      <c r="N96" s="7">
        <v>1663</v>
      </c>
      <c r="O96" s="5">
        <v>13097</v>
      </c>
      <c r="P96" s="5">
        <v>117.01600000000001</v>
      </c>
      <c r="Q96" s="5">
        <v>73.62</v>
      </c>
      <c r="R96" s="5">
        <v>0.25459999999999999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>
        <v>9.74E-2</v>
      </c>
      <c r="AM96" s="5">
        <v>27155</v>
      </c>
      <c r="AN96" s="5">
        <v>2</v>
      </c>
      <c r="AO96" s="7">
        <v>15979</v>
      </c>
      <c r="AP96" s="7">
        <v>768</v>
      </c>
      <c r="AQ96" s="7" t="s">
        <v>101</v>
      </c>
      <c r="AR96" s="7" t="s">
        <v>101</v>
      </c>
      <c r="AS96" s="7">
        <v>1934</v>
      </c>
      <c r="AT96" s="7">
        <v>10525</v>
      </c>
    </row>
    <row r="97" spans="1:46">
      <c r="A97" s="5" t="s">
        <v>30</v>
      </c>
      <c r="B97" s="5" t="s">
        <v>131</v>
      </c>
      <c r="C97" s="5" t="s">
        <v>119</v>
      </c>
      <c r="D97" s="5" t="s">
        <v>308</v>
      </c>
      <c r="E97">
        <v>2020</v>
      </c>
      <c r="F97" s="5">
        <v>140</v>
      </c>
      <c r="G97" s="5">
        <v>23727315</v>
      </c>
      <c r="H97" s="5">
        <v>22106722</v>
      </c>
      <c r="I97" s="5">
        <v>2.75E-2</v>
      </c>
      <c r="J97" s="5">
        <v>7.0000000000000007E-2</v>
      </c>
      <c r="K97" s="15">
        <v>0.03</v>
      </c>
      <c r="L97" s="5">
        <v>1670245</v>
      </c>
      <c r="M97" s="5">
        <v>13486</v>
      </c>
      <c r="N97" s="5">
        <v>1690</v>
      </c>
      <c r="O97" s="5">
        <v>13291</v>
      </c>
      <c r="P97" s="5">
        <v>123.85</v>
      </c>
      <c r="Q97" s="5">
        <v>76.632000000000005</v>
      </c>
      <c r="R97" s="5">
        <v>0.24959999999999999</v>
      </c>
      <c r="AO97" s="7">
        <v>154116</v>
      </c>
      <c r="AP97" s="7" t="s">
        <v>101</v>
      </c>
      <c r="AQ97" s="7" t="s">
        <v>101</v>
      </c>
      <c r="AR97" s="7" t="s">
        <v>101</v>
      </c>
      <c r="AS97" s="7">
        <v>21389</v>
      </c>
      <c r="AT97" s="7">
        <v>28483</v>
      </c>
    </row>
    <row r="98" spans="1:46">
      <c r="A98" s="5" t="s">
        <v>30</v>
      </c>
      <c r="B98" s="5" t="s">
        <v>133</v>
      </c>
      <c r="C98" s="5" t="s">
        <v>134</v>
      </c>
      <c r="D98" s="5" t="s">
        <v>135</v>
      </c>
      <c r="E98" s="5">
        <v>2019</v>
      </c>
      <c r="F98" s="5">
        <v>141</v>
      </c>
      <c r="G98" s="5">
        <v>13811956</v>
      </c>
      <c r="H98" s="5">
        <v>12739145</v>
      </c>
      <c r="I98" s="5">
        <v>2.75E-2</v>
      </c>
      <c r="J98" s="5">
        <v>7.0000000000000007E-2</v>
      </c>
      <c r="K98" s="15">
        <v>0.03</v>
      </c>
      <c r="L98" s="5">
        <v>1141876</v>
      </c>
      <c r="M98" s="5">
        <v>10362</v>
      </c>
      <c r="N98" s="7">
        <v>0</v>
      </c>
      <c r="O98" s="5">
        <v>9315</v>
      </c>
      <c r="P98" s="5">
        <v>110.19799999999999</v>
      </c>
      <c r="Q98" s="5">
        <v>63.496000000000002</v>
      </c>
      <c r="R98" s="5">
        <v>0.37969999999999998</v>
      </c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>
        <v>7.1800000000000003E-2</v>
      </c>
      <c r="AM98" s="5">
        <v>21340</v>
      </c>
      <c r="AN98" s="5">
        <v>2</v>
      </c>
      <c r="AO98" s="7">
        <v>8117</v>
      </c>
      <c r="AP98" s="7"/>
      <c r="AQ98" s="7"/>
      <c r="AR98" s="7"/>
      <c r="AS98" s="7">
        <v>13410</v>
      </c>
      <c r="AT98" s="7">
        <v>8174</v>
      </c>
    </row>
    <row r="99" spans="1:46">
      <c r="A99" s="5" t="s">
        <v>30</v>
      </c>
      <c r="B99" s="5" t="s">
        <v>133</v>
      </c>
      <c r="C99" s="5" t="s">
        <v>134</v>
      </c>
      <c r="D99" s="5" t="s">
        <v>309</v>
      </c>
      <c r="E99">
        <v>2020</v>
      </c>
      <c r="F99" s="5">
        <v>141</v>
      </c>
      <c r="G99" s="5">
        <v>14465350</v>
      </c>
      <c r="H99" s="5">
        <v>13586121</v>
      </c>
      <c r="I99" s="5">
        <v>2.75E-2</v>
      </c>
      <c r="J99" s="5">
        <v>7.0000000000000007E-2</v>
      </c>
      <c r="K99" s="15">
        <v>0.03</v>
      </c>
      <c r="L99" s="5">
        <v>1211798</v>
      </c>
      <c r="M99" s="5">
        <v>10778</v>
      </c>
      <c r="N99" s="5">
        <v>0</v>
      </c>
      <c r="O99" s="5">
        <v>9443</v>
      </c>
      <c r="P99" s="5">
        <v>112.43300000000001</v>
      </c>
      <c r="Q99" s="5">
        <v>66.594999999999999</v>
      </c>
      <c r="R99" s="5">
        <v>0.33550000000000002</v>
      </c>
      <c r="AO99" s="7">
        <v>4993</v>
      </c>
      <c r="AP99" s="7">
        <v>645</v>
      </c>
      <c r="AQ99" s="7" t="s">
        <v>101</v>
      </c>
      <c r="AR99" s="7">
        <v>354</v>
      </c>
      <c r="AS99" s="7">
        <v>68</v>
      </c>
      <c r="AT99" s="7">
        <v>35</v>
      </c>
    </row>
    <row r="100" spans="1:46">
      <c r="A100" s="5" t="s">
        <v>310</v>
      </c>
      <c r="B100" s="5" t="s">
        <v>311</v>
      </c>
      <c r="C100" s="5" t="s">
        <v>91</v>
      </c>
      <c r="D100" s="5" t="s">
        <v>312</v>
      </c>
      <c r="E100" s="5">
        <v>2019</v>
      </c>
      <c r="F100" s="5">
        <v>151</v>
      </c>
      <c r="G100" s="5">
        <v>6597457</v>
      </c>
      <c r="H100" s="5">
        <v>5285205</v>
      </c>
      <c r="I100" s="5">
        <v>2.5000000000000001E-2</v>
      </c>
      <c r="J100" s="5">
        <v>7.4999999999999997E-2</v>
      </c>
      <c r="K100" s="15">
        <v>0.03</v>
      </c>
      <c r="L100" s="5">
        <v>596386</v>
      </c>
      <c r="M100" s="5">
        <v>10974</v>
      </c>
      <c r="N100" s="7">
        <v>4568</v>
      </c>
      <c r="O100" s="5">
        <v>13555</v>
      </c>
      <c r="P100" s="5">
        <v>54.345999999999997</v>
      </c>
      <c r="Q100" s="5">
        <v>29.48</v>
      </c>
      <c r="R100" s="5">
        <v>0.28210000000000002</v>
      </c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>
        <v>5.6500000000000002E-2</v>
      </c>
      <c r="AM100" s="5">
        <v>27557</v>
      </c>
      <c r="AN100" s="5">
        <v>2</v>
      </c>
      <c r="AO100" s="7">
        <v>33416</v>
      </c>
      <c r="AP100" s="7">
        <v>451</v>
      </c>
      <c r="AQ100" s="7" t="s">
        <v>101</v>
      </c>
      <c r="AR100" s="7">
        <v>840</v>
      </c>
      <c r="AS100" s="7">
        <v>491</v>
      </c>
      <c r="AT100" s="7">
        <v>1940</v>
      </c>
    </row>
    <row r="101" spans="1:46">
      <c r="A101" s="5" t="s">
        <v>310</v>
      </c>
      <c r="B101" s="5" t="s">
        <v>311</v>
      </c>
      <c r="C101" s="5" t="s">
        <v>91</v>
      </c>
      <c r="D101" s="5" t="s">
        <v>313</v>
      </c>
      <c r="E101">
        <v>2020</v>
      </c>
      <c r="F101" s="5">
        <v>151</v>
      </c>
      <c r="G101" s="5">
        <v>6745299</v>
      </c>
      <c r="H101" s="5">
        <v>5440867</v>
      </c>
      <c r="I101" s="5">
        <v>2.5000000000000001E-2</v>
      </c>
      <c r="J101" s="5">
        <v>7.4999999999999997E-2</v>
      </c>
      <c r="K101" s="15">
        <v>0.03</v>
      </c>
      <c r="L101" s="5">
        <v>586369</v>
      </c>
      <c r="M101" s="5">
        <v>10567</v>
      </c>
      <c r="N101" s="5">
        <v>4984</v>
      </c>
      <c r="O101" s="5">
        <v>13647</v>
      </c>
      <c r="P101" s="5">
        <v>55.491</v>
      </c>
      <c r="Q101" s="5">
        <v>30.605</v>
      </c>
      <c r="R101" s="5">
        <v>0.2873</v>
      </c>
      <c r="AO101" s="7">
        <v>15979</v>
      </c>
      <c r="AP101" s="7">
        <v>768</v>
      </c>
      <c r="AQ101" s="7"/>
      <c r="AR101" s="7"/>
      <c r="AS101" s="7">
        <v>1934</v>
      </c>
      <c r="AT101" s="7">
        <v>10525</v>
      </c>
    </row>
    <row r="102" spans="1:46">
      <c r="A102" s="5" t="s">
        <v>314</v>
      </c>
      <c r="B102" s="5" t="s">
        <v>315</v>
      </c>
      <c r="C102" s="5" t="s">
        <v>91</v>
      </c>
      <c r="D102" s="5" t="s">
        <v>316</v>
      </c>
      <c r="E102" s="5">
        <v>2019</v>
      </c>
      <c r="F102" s="5">
        <v>55</v>
      </c>
      <c r="G102" s="15"/>
      <c r="H102" s="15"/>
      <c r="I102" s="15">
        <v>2.5000000000000001E-2</v>
      </c>
      <c r="J102" s="15">
        <v>7.0000000000000007E-2</v>
      </c>
      <c r="K102" s="15">
        <v>0.03</v>
      </c>
      <c r="L102" s="15"/>
      <c r="M102" s="15"/>
      <c r="N102" s="7">
        <v>198356</v>
      </c>
      <c r="O102" s="15"/>
      <c r="P102" s="15"/>
      <c r="Q102" s="15"/>
      <c r="R102" s="1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>
        <v>0</v>
      </c>
      <c r="AM102" s="5"/>
      <c r="AN102" s="5">
        <v>2</v>
      </c>
      <c r="AO102" s="7">
        <v>154116</v>
      </c>
      <c r="AP102" s="7"/>
      <c r="AQ102" s="7"/>
      <c r="AR102" s="7"/>
      <c r="AS102" s="7">
        <v>21389</v>
      </c>
      <c r="AT102" s="7">
        <v>28483</v>
      </c>
    </row>
    <row r="103" spans="1:46">
      <c r="A103" s="5" t="s">
        <v>314</v>
      </c>
      <c r="B103" s="5" t="s">
        <v>315</v>
      </c>
      <c r="C103" s="5" t="s">
        <v>91</v>
      </c>
      <c r="D103" s="5" t="s">
        <v>317</v>
      </c>
      <c r="E103">
        <v>2020</v>
      </c>
      <c r="F103" s="5">
        <v>55</v>
      </c>
      <c r="G103" s="15"/>
      <c r="H103" s="15"/>
      <c r="I103" s="15">
        <v>2.5000000000000001E-2</v>
      </c>
      <c r="J103" s="15">
        <v>7.0000000000000007E-2</v>
      </c>
      <c r="K103" s="15">
        <v>0.03</v>
      </c>
      <c r="L103" s="15"/>
      <c r="M103" s="15"/>
      <c r="N103" s="5">
        <v>152142</v>
      </c>
      <c r="O103" s="15"/>
      <c r="P103" s="15"/>
      <c r="Q103" s="15"/>
      <c r="R103" s="15"/>
      <c r="AO103" s="7" t="s">
        <v>101</v>
      </c>
      <c r="AP103" s="7" t="s">
        <v>101</v>
      </c>
      <c r="AQ103" s="7" t="s">
        <v>101</v>
      </c>
      <c r="AR103" s="7" t="s">
        <v>101</v>
      </c>
      <c r="AS103" s="7">
        <v>13410</v>
      </c>
      <c r="AT103" s="7">
        <v>8174</v>
      </c>
    </row>
    <row r="104" spans="1:46">
      <c r="A104" t="s">
        <v>318</v>
      </c>
      <c r="B104" s="5" t="s">
        <v>319</v>
      </c>
      <c r="C104" t="s">
        <v>119</v>
      </c>
      <c r="D104" t="s">
        <v>320</v>
      </c>
      <c r="E104">
        <v>2018</v>
      </c>
      <c r="F104" s="5">
        <v>41</v>
      </c>
      <c r="G104" s="5">
        <v>278950.8</v>
      </c>
      <c r="H104" s="5">
        <v>163509.5</v>
      </c>
      <c r="I104" s="15"/>
      <c r="J104" s="8"/>
      <c r="K104" s="8"/>
      <c r="L104" s="5">
        <v>40740.79</v>
      </c>
      <c r="M104" s="5">
        <v>989</v>
      </c>
      <c r="N104" s="15"/>
      <c r="O104" s="5">
        <v>726</v>
      </c>
      <c r="P104" s="15"/>
      <c r="Q104" s="15"/>
      <c r="R104" s="5">
        <v>0.52180000000000004</v>
      </c>
      <c r="AH104" s="5">
        <v>0.14641799999999999</v>
      </c>
      <c r="AO104" s="7">
        <v>4993</v>
      </c>
      <c r="AP104" s="7">
        <v>645</v>
      </c>
      <c r="AQ104" s="7" t="s">
        <v>101</v>
      </c>
      <c r="AR104" s="7">
        <v>354</v>
      </c>
      <c r="AS104" s="12">
        <v>68</v>
      </c>
      <c r="AT104" s="12">
        <v>35</v>
      </c>
    </row>
    <row r="105" spans="1:46">
      <c r="A105" s="5" t="s">
        <v>32</v>
      </c>
      <c r="B105" s="5" t="s">
        <v>136</v>
      </c>
      <c r="C105" s="5" t="s">
        <v>91</v>
      </c>
      <c r="D105" s="5" t="s">
        <v>137</v>
      </c>
      <c r="E105" s="5">
        <v>2019</v>
      </c>
      <c r="F105" s="5">
        <v>158</v>
      </c>
      <c r="G105" s="5">
        <v>3368176</v>
      </c>
      <c r="H105" s="5">
        <v>3203495</v>
      </c>
      <c r="I105" s="15">
        <v>2.5000000000000001E-2</v>
      </c>
      <c r="J105" s="5">
        <v>7.2499999999999995E-2</v>
      </c>
      <c r="K105" s="15">
        <v>0.03</v>
      </c>
      <c r="L105" s="5">
        <v>638020.4</v>
      </c>
      <c r="M105" s="5">
        <v>11828</v>
      </c>
      <c r="N105" s="7">
        <v>8638</v>
      </c>
      <c r="O105" s="5">
        <v>9363</v>
      </c>
      <c r="P105" s="5">
        <v>53.942</v>
      </c>
      <c r="Q105" s="5">
        <v>17.974</v>
      </c>
      <c r="R105" s="5">
        <v>0.12057</v>
      </c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>
        <v>0</v>
      </c>
      <c r="AM105" s="5">
        <v>24641</v>
      </c>
      <c r="AN105" s="5">
        <v>2</v>
      </c>
      <c r="AO105" s="7">
        <v>33416</v>
      </c>
      <c r="AP105" s="7">
        <v>451</v>
      </c>
      <c r="AQ105" s="7" t="s">
        <v>101</v>
      </c>
      <c r="AR105" s="7">
        <v>840</v>
      </c>
      <c r="AS105" s="12">
        <v>491</v>
      </c>
      <c r="AT105" s="12">
        <v>1940</v>
      </c>
    </row>
    <row r="106" spans="1:46">
      <c r="A106" s="5" t="s">
        <v>32</v>
      </c>
      <c r="B106" s="5" t="s">
        <v>136</v>
      </c>
      <c r="C106" s="5" t="s">
        <v>91</v>
      </c>
      <c r="D106" s="5" t="s">
        <v>321</v>
      </c>
      <c r="E106">
        <v>2020</v>
      </c>
      <c r="F106" s="5">
        <v>158</v>
      </c>
      <c r="G106" s="5">
        <v>3548735</v>
      </c>
      <c r="H106" s="5">
        <v>3312807</v>
      </c>
      <c r="I106" s="15">
        <v>2.5000000000000001E-2</v>
      </c>
      <c r="J106" s="5">
        <v>7.2499999999999995E-2</v>
      </c>
      <c r="K106" s="15">
        <v>0.03</v>
      </c>
      <c r="L106" s="5">
        <v>662803.80000000005</v>
      </c>
      <c r="M106" s="5">
        <v>12055</v>
      </c>
      <c r="N106" s="5">
        <v>8663</v>
      </c>
      <c r="O106" s="5">
        <v>9459</v>
      </c>
      <c r="P106" s="5">
        <v>54.981999999999999</v>
      </c>
      <c r="Q106" s="5">
        <v>18.239999999999998</v>
      </c>
      <c r="R106" s="5">
        <v>0.12881000000000001</v>
      </c>
      <c r="AO106" s="7">
        <v>3880</v>
      </c>
      <c r="AP106" s="7">
        <v>1235</v>
      </c>
      <c r="AQ106" s="7"/>
      <c r="AR106" s="7"/>
      <c r="AS106" s="7">
        <v>156</v>
      </c>
      <c r="AT106" s="7"/>
    </row>
    <row r="107" spans="1:46">
      <c r="A107" s="5" t="s">
        <v>322</v>
      </c>
      <c r="B107" s="5" t="s">
        <v>323</v>
      </c>
      <c r="C107" s="5" t="s">
        <v>91</v>
      </c>
      <c r="D107" s="5" t="s">
        <v>324</v>
      </c>
      <c r="E107" s="5">
        <v>2019</v>
      </c>
      <c r="F107" s="5">
        <v>180</v>
      </c>
      <c r="G107" s="5">
        <v>723145.4</v>
      </c>
      <c r="H107" s="5">
        <v>425079.1</v>
      </c>
      <c r="I107" s="15">
        <v>2.5000000000000001E-2</v>
      </c>
      <c r="J107" s="5">
        <v>7.2499999999999995E-2</v>
      </c>
      <c r="K107" s="15">
        <v>0.03</v>
      </c>
      <c r="L107" s="5">
        <v>149538</v>
      </c>
      <c r="M107" s="5">
        <v>3024</v>
      </c>
      <c r="N107" s="7">
        <v>298</v>
      </c>
      <c r="O107" s="5">
        <v>2130</v>
      </c>
      <c r="P107" s="5">
        <v>49.45</v>
      </c>
      <c r="Q107" s="5">
        <v>21.664999999999999</v>
      </c>
      <c r="R107" s="5">
        <v>0.15310000000000001</v>
      </c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>
        <v>0.06</v>
      </c>
      <c r="AM107" s="5">
        <v>5452</v>
      </c>
      <c r="AN107" s="5">
        <v>2</v>
      </c>
      <c r="AO107" s="7"/>
      <c r="AP107" s="7"/>
      <c r="AQ107" s="7"/>
      <c r="AR107" s="7"/>
      <c r="AS107" s="7">
        <v>19</v>
      </c>
      <c r="AT107" s="7"/>
    </row>
    <row r="108" spans="1:46">
      <c r="A108" s="5" t="s">
        <v>322</v>
      </c>
      <c r="B108" s="5" t="s">
        <v>323</v>
      </c>
      <c r="C108" s="5" t="s">
        <v>91</v>
      </c>
      <c r="D108" s="5" t="s">
        <v>325</v>
      </c>
      <c r="E108">
        <v>2020</v>
      </c>
      <c r="F108" s="5">
        <v>180</v>
      </c>
      <c r="G108" s="5">
        <v>746340.3</v>
      </c>
      <c r="H108" s="5">
        <v>435149.1</v>
      </c>
      <c r="I108" s="15">
        <v>2.5000000000000001E-2</v>
      </c>
      <c r="J108" s="5">
        <v>7.0000000000000007E-2</v>
      </c>
      <c r="K108" s="15">
        <v>0.03</v>
      </c>
      <c r="L108" s="5">
        <v>135779.79999999999</v>
      </c>
      <c r="M108" s="5">
        <v>2648</v>
      </c>
      <c r="N108" s="5">
        <v>314</v>
      </c>
      <c r="O108" s="5">
        <v>2151</v>
      </c>
      <c r="P108" s="5">
        <v>51.276000000000003</v>
      </c>
      <c r="Q108" s="15"/>
      <c r="R108" s="5">
        <v>0.17660000000000001</v>
      </c>
      <c r="AO108" s="7">
        <v>2584</v>
      </c>
      <c r="AP108" s="7"/>
      <c r="AQ108" s="7"/>
      <c r="AR108" s="7"/>
      <c r="AS108" s="7">
        <v>207</v>
      </c>
      <c r="AT108" s="7">
        <v>461</v>
      </c>
    </row>
    <row r="109" spans="1:46">
      <c r="A109" t="s">
        <v>322</v>
      </c>
      <c r="B109" s="5" t="s">
        <v>326</v>
      </c>
      <c r="C109" t="s">
        <v>94</v>
      </c>
      <c r="D109" t="s">
        <v>327</v>
      </c>
      <c r="E109">
        <v>2018</v>
      </c>
      <c r="F109" s="5">
        <v>77</v>
      </c>
      <c r="G109" s="5">
        <v>416164.8</v>
      </c>
      <c r="H109" s="5">
        <v>42194.61</v>
      </c>
      <c r="I109" s="15"/>
      <c r="J109" s="8"/>
      <c r="K109" s="8"/>
      <c r="L109" s="5">
        <v>27762.48</v>
      </c>
      <c r="M109" s="5">
        <v>513</v>
      </c>
      <c r="N109" s="15"/>
      <c r="O109" s="15">
        <v>0</v>
      </c>
      <c r="P109" s="15"/>
      <c r="Q109" s="15"/>
      <c r="R109" s="5">
        <v>1.809582</v>
      </c>
      <c r="AH109" s="5">
        <v>0.22419700000000001</v>
      </c>
      <c r="AO109" s="7">
        <v>3798</v>
      </c>
      <c r="AP109" s="7">
        <v>231</v>
      </c>
      <c r="AQ109" s="7"/>
      <c r="AR109" s="7"/>
      <c r="AS109" s="7">
        <v>521</v>
      </c>
      <c r="AT109" s="7">
        <v>2590</v>
      </c>
    </row>
    <row r="110" spans="1:46">
      <c r="A110" s="5" t="s">
        <v>34</v>
      </c>
      <c r="B110" s="5" t="s">
        <v>139</v>
      </c>
      <c r="C110" s="5" t="s">
        <v>114</v>
      </c>
      <c r="D110" s="5" t="s">
        <v>328</v>
      </c>
      <c r="E110" s="5">
        <v>2019</v>
      </c>
      <c r="F110" s="5">
        <v>211</v>
      </c>
      <c r="G110" s="11">
        <v>5266066</v>
      </c>
      <c r="H110" s="15"/>
      <c r="I110" s="15">
        <v>2.5000000000000001E-2</v>
      </c>
      <c r="J110" s="5">
        <v>7.0000000000000007E-2</v>
      </c>
      <c r="K110" s="15">
        <v>0.03</v>
      </c>
      <c r="L110" s="13">
        <v>1264079</v>
      </c>
      <c r="M110" s="14">
        <v>25864</v>
      </c>
      <c r="N110" s="14">
        <v>12459</v>
      </c>
      <c r="O110" s="14">
        <v>18041</v>
      </c>
      <c r="P110" s="15"/>
      <c r="Q110" s="15"/>
      <c r="R110" s="1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>
        <v>0</v>
      </c>
      <c r="AM110" s="5"/>
      <c r="AN110" s="5">
        <v>2</v>
      </c>
      <c r="AO110" s="7">
        <v>702</v>
      </c>
      <c r="AP110" s="7">
        <v>182</v>
      </c>
      <c r="AQ110" s="7"/>
      <c r="AR110" s="7"/>
      <c r="AS110" s="7"/>
      <c r="AT110" s="7"/>
    </row>
    <row r="111" spans="1:46">
      <c r="A111" s="5" t="s">
        <v>34</v>
      </c>
      <c r="B111" s="5" t="s">
        <v>141</v>
      </c>
      <c r="C111" s="5" t="s">
        <v>91</v>
      </c>
      <c r="D111" s="5" t="s">
        <v>142</v>
      </c>
      <c r="E111" s="5">
        <v>2019</v>
      </c>
      <c r="F111" s="5">
        <v>76</v>
      </c>
      <c r="G111" s="11">
        <v>86034569</v>
      </c>
      <c r="H111" s="15"/>
      <c r="I111" s="15">
        <v>2.5000000000000001E-2</v>
      </c>
      <c r="J111" s="15">
        <v>7.0000000000000007E-2</v>
      </c>
      <c r="K111" s="15">
        <v>0.03</v>
      </c>
      <c r="L111" s="13">
        <v>14459118</v>
      </c>
      <c r="M111" s="14">
        <v>190572</v>
      </c>
      <c r="N111" s="14">
        <v>49872</v>
      </c>
      <c r="O111" s="14">
        <v>154116</v>
      </c>
      <c r="P111" s="5">
        <v>75.872</v>
      </c>
      <c r="Q111" s="5">
        <v>29.821000000000002</v>
      </c>
      <c r="R111" s="1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>
        <v>0</v>
      </c>
      <c r="AM111" s="5">
        <v>366077</v>
      </c>
      <c r="AN111" s="5">
        <v>2</v>
      </c>
      <c r="AO111" s="7"/>
      <c r="AP111" s="7"/>
      <c r="AQ111" s="7"/>
      <c r="AR111" s="7"/>
      <c r="AS111" s="7"/>
      <c r="AT111" s="7"/>
    </row>
    <row r="112" spans="1:46">
      <c r="A112" s="5" t="s">
        <v>34</v>
      </c>
      <c r="B112" s="5" t="s">
        <v>141</v>
      </c>
      <c r="C112" s="5" t="s">
        <v>91</v>
      </c>
      <c r="D112" s="5" t="s">
        <v>329</v>
      </c>
      <c r="E112">
        <v>2020</v>
      </c>
      <c r="F112" s="5">
        <v>76</v>
      </c>
      <c r="G112" s="11">
        <v>89884946</v>
      </c>
      <c r="H112" s="15"/>
      <c r="I112" s="15">
        <v>2.5000000000000001E-2</v>
      </c>
      <c r="J112" s="15">
        <v>7.0000000000000007E-2</v>
      </c>
      <c r="K112" s="15">
        <v>0.03</v>
      </c>
      <c r="L112" s="13">
        <v>14981461</v>
      </c>
      <c r="M112" s="14">
        <v>190572</v>
      </c>
      <c r="N112" s="13">
        <v>49872</v>
      </c>
      <c r="O112" s="14">
        <v>154116</v>
      </c>
      <c r="P112" s="15"/>
      <c r="Q112" s="15"/>
      <c r="R112" s="15"/>
      <c r="AO112" s="7">
        <v>15525</v>
      </c>
      <c r="AP112" s="7">
        <v>4014</v>
      </c>
      <c r="AQ112" s="7"/>
      <c r="AR112" s="7"/>
      <c r="AS112" s="7">
        <v>9207</v>
      </c>
      <c r="AT112" s="7"/>
    </row>
    <row r="113" spans="1:46">
      <c r="A113" s="5" t="s">
        <v>34</v>
      </c>
      <c r="B113" s="5" t="s">
        <v>143</v>
      </c>
      <c r="C113" s="5" t="s">
        <v>94</v>
      </c>
      <c r="D113" s="5" t="s">
        <v>144</v>
      </c>
      <c r="E113" s="5">
        <v>2019</v>
      </c>
      <c r="F113" s="5">
        <v>149</v>
      </c>
      <c r="G113" s="11">
        <v>22477031</v>
      </c>
      <c r="H113" s="15"/>
      <c r="I113" s="15">
        <v>2.5000000000000001E-2</v>
      </c>
      <c r="J113" s="5">
        <v>7.0000000000000007E-2</v>
      </c>
      <c r="K113" s="15">
        <v>0.03</v>
      </c>
      <c r="L113" s="13">
        <v>1302872</v>
      </c>
      <c r="M113" s="14">
        <v>11237</v>
      </c>
      <c r="N113" s="14">
        <v>103</v>
      </c>
      <c r="O113" s="14">
        <v>16593</v>
      </c>
      <c r="P113" s="5">
        <v>116220</v>
      </c>
      <c r="Q113" s="5">
        <v>74.778999999999996</v>
      </c>
      <c r="R113" s="1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>
        <v>0</v>
      </c>
      <c r="AM113" s="5">
        <v>27898</v>
      </c>
      <c r="AN113" s="5">
        <v>2</v>
      </c>
      <c r="AO113" s="7">
        <v>9049</v>
      </c>
      <c r="AP113" s="7">
        <v>2475</v>
      </c>
      <c r="AQ113" s="7"/>
      <c r="AR113" s="7"/>
      <c r="AS113" s="7">
        <v>575</v>
      </c>
      <c r="AT113" s="7"/>
    </row>
    <row r="114" spans="1:46">
      <c r="A114" s="5" t="s">
        <v>34</v>
      </c>
      <c r="B114" s="5" t="s">
        <v>143</v>
      </c>
      <c r="C114" s="5" t="s">
        <v>94</v>
      </c>
      <c r="D114" s="5" t="s">
        <v>330</v>
      </c>
      <c r="E114">
        <v>2020</v>
      </c>
      <c r="F114" s="5">
        <v>149</v>
      </c>
      <c r="G114" s="11">
        <v>23302435</v>
      </c>
      <c r="H114" s="15"/>
      <c r="I114" s="15">
        <v>2.5000000000000001E-2</v>
      </c>
      <c r="J114" s="5">
        <v>7.0000000000000007E-2</v>
      </c>
      <c r="K114" s="15">
        <v>0.03</v>
      </c>
      <c r="L114" s="13">
        <v>1336843</v>
      </c>
      <c r="M114" s="14">
        <v>11237</v>
      </c>
      <c r="N114" s="14">
        <v>103</v>
      </c>
      <c r="O114" s="14">
        <v>16593</v>
      </c>
      <c r="P114" s="15"/>
      <c r="Q114" s="15"/>
      <c r="R114" s="5">
        <v>0.60665999999999998</v>
      </c>
      <c r="AO114" s="7">
        <v>7472</v>
      </c>
      <c r="AP114" s="7">
        <v>1971</v>
      </c>
      <c r="AQ114" s="7"/>
      <c r="AR114" s="7"/>
      <c r="AS114" s="7">
        <v>1690</v>
      </c>
      <c r="AT114" s="7"/>
    </row>
    <row r="115" spans="1:46">
      <c r="A115" s="5" t="s">
        <v>34</v>
      </c>
      <c r="B115" s="5" t="s">
        <v>145</v>
      </c>
      <c r="C115" s="5" t="s">
        <v>97</v>
      </c>
      <c r="D115" s="5" t="s">
        <v>146</v>
      </c>
      <c r="E115" s="5">
        <v>2019</v>
      </c>
      <c r="F115" s="5">
        <v>150</v>
      </c>
      <c r="G115" s="11">
        <v>49089967</v>
      </c>
      <c r="H115" s="15"/>
      <c r="I115" s="15">
        <v>2.5000000000000001E-2</v>
      </c>
      <c r="J115" s="5">
        <v>7.0000000000000007E-2</v>
      </c>
      <c r="K115" s="15">
        <v>0.03</v>
      </c>
      <c r="L115" s="13">
        <v>4047772</v>
      </c>
      <c r="M115" s="14">
        <v>36562</v>
      </c>
      <c r="N115" s="14">
        <v>2431</v>
      </c>
      <c r="O115" s="14">
        <v>50124</v>
      </c>
      <c r="P115" s="5">
        <v>110.858</v>
      </c>
      <c r="Q115" s="5">
        <v>51.619</v>
      </c>
      <c r="R115" s="1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>
        <v>0</v>
      </c>
      <c r="AM115" s="5">
        <v>87177</v>
      </c>
      <c r="AN115" s="5">
        <v>2</v>
      </c>
      <c r="AO115" s="7">
        <v>988</v>
      </c>
      <c r="AP115" s="7"/>
      <c r="AQ115" s="7"/>
      <c r="AR115" s="7"/>
      <c r="AS115" s="7"/>
      <c r="AT115" s="7"/>
    </row>
    <row r="116" spans="1:46">
      <c r="A116" s="5" t="s">
        <v>34</v>
      </c>
      <c r="B116" s="5" t="s">
        <v>145</v>
      </c>
      <c r="C116" s="5" t="s">
        <v>97</v>
      </c>
      <c r="D116" s="5" t="s">
        <v>331</v>
      </c>
      <c r="E116">
        <v>2020</v>
      </c>
      <c r="F116" s="5">
        <v>150</v>
      </c>
      <c r="G116" s="11">
        <v>51317492</v>
      </c>
      <c r="H116" s="15"/>
      <c r="I116" s="15">
        <v>2.5000000000000001E-2</v>
      </c>
      <c r="J116" s="5">
        <v>7.0000000000000007E-2</v>
      </c>
      <c r="K116" s="15">
        <v>0.03</v>
      </c>
      <c r="L116" s="13">
        <v>4244806</v>
      </c>
      <c r="M116" s="14">
        <v>36562</v>
      </c>
      <c r="N116" s="14">
        <v>2431</v>
      </c>
      <c r="O116" s="14">
        <v>50124</v>
      </c>
      <c r="P116" s="5">
        <v>88.406999999999996</v>
      </c>
      <c r="Q116" s="5">
        <v>50.704000000000001</v>
      </c>
      <c r="R116" s="15"/>
      <c r="AO116" s="7">
        <v>11034</v>
      </c>
      <c r="AP116" s="7">
        <v>2081</v>
      </c>
      <c r="AQ116" s="7"/>
      <c r="AR116" s="7"/>
      <c r="AS116" s="7">
        <v>3188</v>
      </c>
      <c r="AT116" s="7">
        <v>1796</v>
      </c>
    </row>
    <row r="117" spans="1:46">
      <c r="A117" s="5" t="s">
        <v>34</v>
      </c>
      <c r="B117" s="5" t="s">
        <v>332</v>
      </c>
      <c r="C117" s="5" t="s">
        <v>114</v>
      </c>
      <c r="D117" s="5" t="s">
        <v>148</v>
      </c>
      <c r="E117" s="5">
        <v>2019</v>
      </c>
      <c r="F117" s="5">
        <v>77</v>
      </c>
      <c r="G117" s="11">
        <v>73346850</v>
      </c>
      <c r="H117" s="15"/>
      <c r="I117" s="15">
        <v>2.5000000000000001E-2</v>
      </c>
      <c r="J117" s="5">
        <v>7.0000000000000007E-2</v>
      </c>
      <c r="K117" s="15">
        <v>0.03</v>
      </c>
      <c r="L117" s="13">
        <v>10404404</v>
      </c>
      <c r="M117" s="14">
        <v>123336</v>
      </c>
      <c r="N117" s="14">
        <v>21584</v>
      </c>
      <c r="O117" s="13">
        <v>88507</v>
      </c>
      <c r="P117" s="5">
        <v>88.406999999999996</v>
      </c>
      <c r="Q117" s="5">
        <v>50.704000000000001</v>
      </c>
      <c r="R117" s="1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>
        <v>0</v>
      </c>
      <c r="AM117" s="5">
        <v>225253</v>
      </c>
      <c r="AN117" s="5">
        <v>5</v>
      </c>
      <c r="AO117" s="7"/>
      <c r="AP117" s="7"/>
      <c r="AQ117" s="7"/>
      <c r="AR117" s="7"/>
      <c r="AS117" s="7">
        <v>69995</v>
      </c>
      <c r="AT117" s="7">
        <v>82147</v>
      </c>
    </row>
    <row r="118" spans="1:46">
      <c r="A118" s="5" t="s">
        <v>34</v>
      </c>
      <c r="B118" s="5" t="s">
        <v>332</v>
      </c>
      <c r="C118" s="5" t="s">
        <v>114</v>
      </c>
      <c r="D118" s="5" t="s">
        <v>333</v>
      </c>
      <c r="E118">
        <v>2020</v>
      </c>
      <c r="F118" s="5">
        <v>77</v>
      </c>
      <c r="G118" s="11">
        <v>75115996</v>
      </c>
      <c r="H118" s="15"/>
      <c r="I118" s="15">
        <v>2.5000000000000001E-2</v>
      </c>
      <c r="J118" s="5">
        <v>7.0000000000000007E-2</v>
      </c>
      <c r="K118" s="15">
        <v>0.03</v>
      </c>
      <c r="L118" s="13">
        <v>10903755</v>
      </c>
      <c r="M118" s="14">
        <v>123336</v>
      </c>
      <c r="N118" s="14">
        <v>21584</v>
      </c>
      <c r="O118" s="14">
        <v>88507</v>
      </c>
      <c r="P118" s="15"/>
      <c r="Q118" s="5">
        <v>50.704000000000001</v>
      </c>
      <c r="R118" s="15"/>
      <c r="AO118" s="7"/>
      <c r="AP118" s="7"/>
      <c r="AQ118" s="7"/>
      <c r="AR118" s="7"/>
      <c r="AS118" s="7">
        <v>8663</v>
      </c>
      <c r="AT118" s="7"/>
    </row>
    <row r="119" spans="1:46">
      <c r="A119" s="5" t="s">
        <v>34</v>
      </c>
      <c r="B119" s="5" t="s">
        <v>334</v>
      </c>
      <c r="C119" s="5" t="s">
        <v>114</v>
      </c>
      <c r="D119" s="5" t="s">
        <v>335</v>
      </c>
      <c r="E119">
        <v>2020</v>
      </c>
      <c r="F119" s="5">
        <v>211</v>
      </c>
      <c r="G119" s="11">
        <v>5460141</v>
      </c>
      <c r="H119" s="15"/>
      <c r="I119" s="15">
        <v>2.5000000000000001E-2</v>
      </c>
      <c r="J119" s="5">
        <v>7.0000000000000007E-2</v>
      </c>
      <c r="K119" s="15">
        <v>0.03</v>
      </c>
      <c r="L119" s="13">
        <v>1353266</v>
      </c>
      <c r="M119" s="14">
        <v>25864</v>
      </c>
      <c r="N119" s="13">
        <v>12459</v>
      </c>
      <c r="O119" s="14">
        <v>18041</v>
      </c>
      <c r="P119" s="5">
        <v>51.276000000000003</v>
      </c>
      <c r="Q119" s="15"/>
      <c r="R119" s="5">
        <v>0.17660000000000001</v>
      </c>
      <c r="AO119" s="7"/>
      <c r="AP119" s="7"/>
      <c r="AQ119" s="7"/>
      <c r="AR119" s="7"/>
      <c r="AS119" s="7">
        <v>3751</v>
      </c>
      <c r="AT119" s="7"/>
    </row>
    <row r="120" spans="1:46">
      <c r="A120" s="5" t="s">
        <v>336</v>
      </c>
      <c r="B120" s="5" t="s">
        <v>337</v>
      </c>
      <c r="C120" s="5" t="s">
        <v>91</v>
      </c>
      <c r="D120" s="5" t="s">
        <v>338</v>
      </c>
      <c r="E120" s="5">
        <v>2019</v>
      </c>
      <c r="F120" s="5">
        <v>178</v>
      </c>
      <c r="G120" s="5">
        <v>730242</v>
      </c>
      <c r="H120" s="5">
        <v>727125</v>
      </c>
      <c r="I120" s="5">
        <v>3.2500000000000001E-2</v>
      </c>
      <c r="J120" s="5">
        <v>7.0999999999999994E-2</v>
      </c>
      <c r="K120" s="15">
        <v>0.03</v>
      </c>
      <c r="L120" s="5">
        <v>130172</v>
      </c>
      <c r="M120" s="5">
        <v>2457</v>
      </c>
      <c r="N120" s="7">
        <v>21584</v>
      </c>
      <c r="O120" s="5">
        <v>1595</v>
      </c>
      <c r="P120" s="5">
        <v>52.98</v>
      </c>
      <c r="Q120" s="5">
        <v>22.864000000000001</v>
      </c>
      <c r="R120" s="5">
        <v>6.8900000000000003E-2</v>
      </c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>
        <v>0.06</v>
      </c>
      <c r="AM120" s="5">
        <v>4192</v>
      </c>
      <c r="AN120" s="5">
        <v>2</v>
      </c>
      <c r="AO120" s="7"/>
      <c r="AP120" s="7"/>
      <c r="AQ120" s="7"/>
      <c r="AR120" s="7"/>
      <c r="AS120" s="7">
        <v>314</v>
      </c>
      <c r="AT120" s="7"/>
    </row>
    <row r="121" spans="1:46">
      <c r="A121" s="5" t="s">
        <v>336</v>
      </c>
      <c r="B121" s="5" t="s">
        <v>337</v>
      </c>
      <c r="C121" s="5" t="s">
        <v>91</v>
      </c>
      <c r="D121" s="5" t="s">
        <v>339</v>
      </c>
      <c r="E121">
        <v>2020</v>
      </c>
      <c r="F121" s="5">
        <v>178</v>
      </c>
      <c r="G121" s="5">
        <v>792457</v>
      </c>
      <c r="H121" s="5">
        <v>761919</v>
      </c>
      <c r="I121" s="5">
        <v>0.03</v>
      </c>
      <c r="J121" s="5">
        <v>7.0000000000000007E-2</v>
      </c>
      <c r="K121" s="15">
        <v>0.03</v>
      </c>
      <c r="L121" s="5">
        <v>132753</v>
      </c>
      <c r="M121" s="5">
        <v>2470</v>
      </c>
      <c r="N121" s="5">
        <v>21584</v>
      </c>
      <c r="O121" s="5">
        <v>1652</v>
      </c>
      <c r="P121" s="5">
        <v>53.746000000000002</v>
      </c>
      <c r="Q121" s="5">
        <v>23.902000000000001</v>
      </c>
      <c r="R121" s="5">
        <v>7.46E-2</v>
      </c>
      <c r="AO121" s="7">
        <v>15979</v>
      </c>
      <c r="AP121" s="7">
        <v>768</v>
      </c>
      <c r="AQ121" s="7"/>
      <c r="AR121" s="7"/>
      <c r="AS121" s="7">
        <v>1934</v>
      </c>
      <c r="AT121" s="7">
        <v>10525</v>
      </c>
    </row>
    <row r="122" spans="1:46">
      <c r="A122" s="5" t="s">
        <v>340</v>
      </c>
      <c r="B122" s="5" t="s">
        <v>341</v>
      </c>
      <c r="C122" s="5" t="s">
        <v>91</v>
      </c>
      <c r="D122" s="5" t="s">
        <v>342</v>
      </c>
      <c r="E122" s="5">
        <v>2019</v>
      </c>
      <c r="F122" s="5">
        <v>203</v>
      </c>
      <c r="G122" s="5">
        <v>483904.7</v>
      </c>
      <c r="H122" s="5">
        <v>253722.4</v>
      </c>
      <c r="I122" s="5">
        <v>2.5000000000000001E-2</v>
      </c>
      <c r="J122" s="5">
        <v>7.4999999999999997E-2</v>
      </c>
      <c r="K122" s="15">
        <v>0.03</v>
      </c>
      <c r="L122" s="5">
        <v>79047.56</v>
      </c>
      <c r="M122" s="5">
        <v>1239</v>
      </c>
      <c r="N122" s="7">
        <v>14</v>
      </c>
      <c r="O122" s="5">
        <v>1473</v>
      </c>
      <c r="P122" s="5">
        <v>63.798999999999999</v>
      </c>
      <c r="Q122" s="5">
        <v>24.341000000000001</v>
      </c>
      <c r="R122" s="5">
        <v>0.20879</v>
      </c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>
        <v>0.10075000000000001</v>
      </c>
      <c r="AM122" s="5">
        <v>2808</v>
      </c>
      <c r="AN122" s="5">
        <v>2</v>
      </c>
      <c r="AO122" s="7">
        <v>154116</v>
      </c>
      <c r="AP122" s="7"/>
      <c r="AQ122" s="7"/>
      <c r="AR122" s="7"/>
      <c r="AS122" s="7">
        <v>21389</v>
      </c>
      <c r="AT122" s="7">
        <v>28483</v>
      </c>
    </row>
    <row r="123" spans="1:46">
      <c r="A123" s="5" t="s">
        <v>340</v>
      </c>
      <c r="B123" s="5" t="s">
        <v>341</v>
      </c>
      <c r="C123" s="5" t="s">
        <v>114</v>
      </c>
      <c r="D123" s="5" t="s">
        <v>343</v>
      </c>
      <c r="E123">
        <v>2020</v>
      </c>
      <c r="F123" s="5">
        <v>162</v>
      </c>
      <c r="G123" s="5">
        <v>490096.8</v>
      </c>
      <c r="H123" s="5">
        <v>257351</v>
      </c>
      <c r="I123" s="5">
        <v>2.5000000000000001E-2</v>
      </c>
      <c r="J123" s="5">
        <v>7.4999999999999997E-2</v>
      </c>
      <c r="K123" s="15">
        <v>0.03</v>
      </c>
      <c r="L123" s="5">
        <v>86257.02</v>
      </c>
      <c r="M123" s="5">
        <v>1229</v>
      </c>
      <c r="N123" s="5">
        <v>151</v>
      </c>
      <c r="O123" s="5">
        <v>1467</v>
      </c>
      <c r="P123" s="5">
        <v>70.185000000000002</v>
      </c>
      <c r="Q123" s="5">
        <v>27.841000000000001</v>
      </c>
      <c r="R123" s="5">
        <v>0.20194000000000001</v>
      </c>
      <c r="AO123" s="7">
        <v>4993</v>
      </c>
      <c r="AP123" s="7">
        <v>645</v>
      </c>
      <c r="AQ123" s="7"/>
      <c r="AR123" s="7">
        <v>354</v>
      </c>
      <c r="AS123" s="7">
        <v>68</v>
      </c>
      <c r="AT123" s="7">
        <v>35</v>
      </c>
    </row>
    <row r="124" spans="1:46">
      <c r="A124" s="5" t="s">
        <v>340</v>
      </c>
      <c r="B124" s="5" t="s">
        <v>344</v>
      </c>
      <c r="C124" s="5" t="s">
        <v>119</v>
      </c>
      <c r="D124" s="5" t="s">
        <v>345</v>
      </c>
      <c r="E124" s="5">
        <v>2019</v>
      </c>
      <c r="F124" s="5">
        <v>172</v>
      </c>
      <c r="G124" s="5">
        <v>1451453</v>
      </c>
      <c r="H124" s="5">
        <v>787558.8</v>
      </c>
      <c r="I124" s="5">
        <v>2.5000000000000001E-2</v>
      </c>
      <c r="J124" s="5">
        <v>7.4999999999999997E-2</v>
      </c>
      <c r="K124" s="15">
        <v>0.03</v>
      </c>
      <c r="L124" s="5">
        <v>147301.4</v>
      </c>
      <c r="M124" s="5">
        <v>1480</v>
      </c>
      <c r="N124" s="7">
        <v>157</v>
      </c>
      <c r="O124" s="5">
        <v>1606</v>
      </c>
      <c r="P124" s="5">
        <v>95.033000000000001</v>
      </c>
      <c r="Q124" s="5">
        <v>50.753</v>
      </c>
      <c r="R124" s="5">
        <v>0.52954999999999997</v>
      </c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>
        <v>0.16553999999999999</v>
      </c>
      <c r="AM124" s="5">
        <v>3094</v>
      </c>
      <c r="AN124" s="5">
        <v>2</v>
      </c>
      <c r="AO124" s="7">
        <v>33416</v>
      </c>
      <c r="AP124" s="7">
        <v>451</v>
      </c>
      <c r="AQ124" s="7"/>
      <c r="AR124" s="7">
        <v>840</v>
      </c>
      <c r="AS124" s="7">
        <v>491</v>
      </c>
      <c r="AT124" s="7">
        <v>1940</v>
      </c>
    </row>
    <row r="125" spans="1:46">
      <c r="A125" s="5" t="s">
        <v>340</v>
      </c>
      <c r="B125" s="5" t="s">
        <v>344</v>
      </c>
      <c r="C125" s="5" t="s">
        <v>119</v>
      </c>
      <c r="D125" s="5" t="s">
        <v>346</v>
      </c>
      <c r="E125">
        <v>2020</v>
      </c>
      <c r="F125" s="5">
        <v>172</v>
      </c>
      <c r="G125" s="5">
        <v>1451453</v>
      </c>
      <c r="H125" s="5">
        <v>787558.8</v>
      </c>
      <c r="I125" s="5">
        <v>2.5000000000000001E-2</v>
      </c>
      <c r="J125" s="5">
        <v>7.4999999999999997E-2</v>
      </c>
      <c r="K125" s="15">
        <v>0.03</v>
      </c>
      <c r="L125" s="5">
        <v>147301.4</v>
      </c>
      <c r="M125" s="5">
        <v>1480</v>
      </c>
      <c r="N125" s="5">
        <v>149</v>
      </c>
      <c r="O125" s="5">
        <v>1606</v>
      </c>
      <c r="P125" s="5">
        <v>95.033000000000001</v>
      </c>
      <c r="Q125" s="5">
        <v>50.753</v>
      </c>
      <c r="R125" s="5">
        <v>0.52954999999999997</v>
      </c>
      <c r="AO125" s="7"/>
      <c r="AP125" s="7"/>
      <c r="AQ125" s="7"/>
      <c r="AR125" s="7"/>
      <c r="AS125" s="7">
        <v>13410</v>
      </c>
      <c r="AT125" s="7">
        <v>8174</v>
      </c>
    </row>
    <row r="126" spans="1:46">
      <c r="A126" s="5" t="s">
        <v>340</v>
      </c>
      <c r="B126" s="5" t="s">
        <v>347</v>
      </c>
      <c r="C126" s="5" t="s">
        <v>114</v>
      </c>
      <c r="D126" s="5" t="s">
        <v>348</v>
      </c>
      <c r="E126" s="5">
        <v>2019</v>
      </c>
      <c r="F126" s="5">
        <v>162</v>
      </c>
      <c r="G126" s="5">
        <v>2192893</v>
      </c>
      <c r="H126" s="5">
        <v>1378824</v>
      </c>
      <c r="I126" s="5">
        <v>2.75E-2</v>
      </c>
      <c r="J126" s="5">
        <v>7.4999999999999997E-2</v>
      </c>
      <c r="K126" s="15">
        <v>0.03</v>
      </c>
      <c r="L126" s="5">
        <v>375598.3</v>
      </c>
      <c r="M126" s="5">
        <v>7177</v>
      </c>
      <c r="N126" s="7">
        <v>140</v>
      </c>
      <c r="O126" s="5">
        <v>4826</v>
      </c>
      <c r="P126" s="5">
        <v>47.3</v>
      </c>
      <c r="Q126" s="5">
        <v>26.109000000000002</v>
      </c>
      <c r="R126" s="5">
        <v>0.2697</v>
      </c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>
        <v>9.7799999999999998E-2</v>
      </c>
      <c r="AM126" s="5">
        <v>13117</v>
      </c>
      <c r="AN126" s="5">
        <v>2</v>
      </c>
      <c r="AO126" s="7">
        <v>1358</v>
      </c>
      <c r="AP126" s="7">
        <v>244</v>
      </c>
      <c r="AQ126" s="7">
        <v>3624</v>
      </c>
      <c r="AR126" s="7"/>
      <c r="AS126" s="7">
        <v>151</v>
      </c>
      <c r="AT126" s="7"/>
    </row>
    <row r="127" spans="1:46">
      <c r="A127" s="5" t="s">
        <v>340</v>
      </c>
      <c r="B127" s="5" t="s">
        <v>347</v>
      </c>
      <c r="C127" s="5" t="s">
        <v>91</v>
      </c>
      <c r="D127" s="5" t="s">
        <v>349</v>
      </c>
      <c r="E127">
        <v>2020</v>
      </c>
      <c r="F127" s="5">
        <v>203</v>
      </c>
      <c r="G127" s="5">
        <v>2265653</v>
      </c>
      <c r="H127" s="5">
        <v>1417961</v>
      </c>
      <c r="I127" s="5">
        <v>2.75E-2</v>
      </c>
      <c r="J127" s="5">
        <v>7.4999999999999997E-2</v>
      </c>
      <c r="K127" s="15">
        <v>0.03</v>
      </c>
      <c r="L127" s="5">
        <v>364799.3</v>
      </c>
      <c r="M127" s="5">
        <v>7366</v>
      </c>
      <c r="N127" s="5">
        <v>14</v>
      </c>
      <c r="O127" s="5">
        <v>4980</v>
      </c>
      <c r="P127" s="5">
        <v>47.570999999999998</v>
      </c>
      <c r="Q127" s="5">
        <v>26.545999999999999</v>
      </c>
      <c r="R127" s="5">
        <v>0.27250000000000002</v>
      </c>
      <c r="AO127" s="7">
        <v>1389</v>
      </c>
      <c r="AP127" s="7"/>
      <c r="AQ127" s="7"/>
      <c r="AR127" s="7"/>
      <c r="AS127" s="7">
        <v>100</v>
      </c>
      <c r="AT127" s="7">
        <v>49</v>
      </c>
    </row>
    <row r="128" spans="1:46">
      <c r="A128" s="5" t="s">
        <v>36</v>
      </c>
      <c r="B128" s="5" t="s">
        <v>149</v>
      </c>
      <c r="C128" s="5" t="s">
        <v>91</v>
      </c>
      <c r="D128" s="5" t="s">
        <v>150</v>
      </c>
      <c r="E128" s="5">
        <v>2019</v>
      </c>
      <c r="F128" s="5">
        <v>152</v>
      </c>
      <c r="G128" s="5">
        <v>11783085</v>
      </c>
      <c r="H128" s="5">
        <v>5852473</v>
      </c>
      <c r="I128" s="5">
        <v>3.3000000000000002E-2</v>
      </c>
      <c r="J128" s="5">
        <v>7.5499999999999998E-2</v>
      </c>
      <c r="K128" s="15">
        <v>0.03</v>
      </c>
      <c r="L128" s="5">
        <v>1842555</v>
      </c>
      <c r="M128" s="5">
        <v>28596</v>
      </c>
      <c r="N128" s="7">
        <v>1785</v>
      </c>
      <c r="O128" s="5">
        <v>36767</v>
      </c>
      <c r="P128" s="5">
        <v>64.433999999999997</v>
      </c>
      <c r="Q128" s="5">
        <v>22.309000000000001</v>
      </c>
      <c r="R128" s="5">
        <v>0.37459999999999999</v>
      </c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>
        <v>4.41E-2</v>
      </c>
      <c r="AM128" s="5">
        <v>66328</v>
      </c>
      <c r="AN128" s="5">
        <v>2</v>
      </c>
      <c r="AO128" s="7">
        <v>1312</v>
      </c>
      <c r="AP128" s="7"/>
      <c r="AQ128" s="7"/>
      <c r="AR128" s="7">
        <v>70</v>
      </c>
      <c r="AS128" s="7">
        <v>8</v>
      </c>
      <c r="AT128" s="7">
        <v>6</v>
      </c>
    </row>
    <row r="129" spans="1:46">
      <c r="A129" s="5" t="s">
        <v>36</v>
      </c>
      <c r="B129" s="5" t="s">
        <v>149</v>
      </c>
      <c r="C129" s="5" t="s">
        <v>91</v>
      </c>
      <c r="D129" s="5" t="s">
        <v>350</v>
      </c>
      <c r="E129">
        <v>2020</v>
      </c>
      <c r="F129" s="5">
        <v>152</v>
      </c>
      <c r="G129" s="5">
        <v>12038051</v>
      </c>
      <c r="H129" s="5">
        <v>6242696</v>
      </c>
      <c r="I129" s="5">
        <v>3.3000000000000002E-2</v>
      </c>
      <c r="J129" s="5">
        <v>7.5499999999999998E-2</v>
      </c>
      <c r="K129" s="15">
        <v>0.03</v>
      </c>
      <c r="L129" s="5">
        <v>1921217</v>
      </c>
      <c r="M129" s="5">
        <v>28892</v>
      </c>
      <c r="N129" s="5">
        <v>1872</v>
      </c>
      <c r="O129" s="5">
        <v>36195</v>
      </c>
      <c r="P129" s="5">
        <v>66.497</v>
      </c>
      <c r="Q129" s="5">
        <v>22.835000000000001</v>
      </c>
      <c r="R129" s="5">
        <v>0.36649999999999999</v>
      </c>
      <c r="AO129" s="7"/>
      <c r="AP129" s="7"/>
      <c r="AQ129" s="7"/>
      <c r="AR129" s="7"/>
      <c r="AS129" s="7">
        <v>1163</v>
      </c>
      <c r="AT129" s="7">
        <v>709</v>
      </c>
    </row>
    <row r="130" spans="1:46">
      <c r="A130" s="5" t="s">
        <v>38</v>
      </c>
      <c r="B130" s="5" t="s">
        <v>151</v>
      </c>
      <c r="C130" s="5" t="s">
        <v>91</v>
      </c>
      <c r="D130" s="5" t="s">
        <v>152</v>
      </c>
      <c r="E130" s="5">
        <v>2019</v>
      </c>
      <c r="F130" s="5">
        <v>94</v>
      </c>
      <c r="G130" s="5">
        <v>4401825</v>
      </c>
      <c r="H130" s="5">
        <v>2677353</v>
      </c>
      <c r="I130" s="5">
        <v>2.5000000000000001E-2</v>
      </c>
      <c r="J130" s="5">
        <v>7.2499999999999995E-2</v>
      </c>
      <c r="K130" s="15">
        <v>0.03</v>
      </c>
      <c r="L130" s="5">
        <v>562989</v>
      </c>
      <c r="M130" s="5">
        <v>7941</v>
      </c>
      <c r="N130" s="7">
        <v>965</v>
      </c>
      <c r="O130" s="5">
        <v>7368</v>
      </c>
      <c r="P130" s="5">
        <v>70.896000000000001</v>
      </c>
      <c r="Q130" s="5">
        <v>32.122</v>
      </c>
      <c r="R130" s="5">
        <v>0.3362</v>
      </c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>
        <v>0.05</v>
      </c>
      <c r="AM130" s="5">
        <v>16317</v>
      </c>
      <c r="AN130" s="5">
        <v>2</v>
      </c>
      <c r="AO130" s="7">
        <v>22249</v>
      </c>
      <c r="AP130" s="7">
        <v>8471</v>
      </c>
      <c r="AQ130" s="7"/>
      <c r="AR130" s="7">
        <v>1642</v>
      </c>
      <c r="AS130" s="7">
        <v>929</v>
      </c>
      <c r="AT130" s="7"/>
    </row>
    <row r="131" spans="1:46">
      <c r="A131" s="5" t="s">
        <v>38</v>
      </c>
      <c r="B131" s="5" t="s">
        <v>151</v>
      </c>
      <c r="C131" s="5" t="s">
        <v>91</v>
      </c>
      <c r="D131" s="5" t="s">
        <v>351</v>
      </c>
      <c r="E131">
        <v>2020</v>
      </c>
      <c r="F131" s="5">
        <v>94</v>
      </c>
      <c r="G131" s="5">
        <v>4414114</v>
      </c>
      <c r="H131" s="5">
        <v>2811163</v>
      </c>
      <c r="I131" s="5">
        <v>2.3E-2</v>
      </c>
      <c r="J131" s="15">
        <v>7.0000000000000007E-2</v>
      </c>
      <c r="K131" s="15">
        <v>0.03</v>
      </c>
      <c r="L131" s="5">
        <v>568646</v>
      </c>
      <c r="M131" s="5">
        <v>8027</v>
      </c>
      <c r="N131" s="5">
        <v>929</v>
      </c>
      <c r="O131" s="5">
        <v>7502</v>
      </c>
      <c r="P131" s="5">
        <v>70.841999999999999</v>
      </c>
      <c r="Q131" s="5">
        <v>32.302999999999997</v>
      </c>
      <c r="R131" s="5">
        <v>0.32600000000000001</v>
      </c>
      <c r="AO131" s="7">
        <v>6109</v>
      </c>
      <c r="AP131" s="7">
        <v>1160</v>
      </c>
      <c r="AQ131" s="7"/>
      <c r="AR131" s="7"/>
      <c r="AS131" s="7">
        <v>1033</v>
      </c>
      <c r="AT131" s="7"/>
    </row>
    <row r="132" spans="1:46">
      <c r="A132" t="s">
        <v>352</v>
      </c>
      <c r="B132" s="5" t="s">
        <v>353</v>
      </c>
      <c r="C132" t="s">
        <v>94</v>
      </c>
      <c r="D132" t="s">
        <v>327</v>
      </c>
      <c r="E132">
        <v>2018</v>
      </c>
      <c r="F132" s="5">
        <v>75</v>
      </c>
      <c r="G132" s="5">
        <v>445271.1</v>
      </c>
      <c r="H132" s="5">
        <v>241394</v>
      </c>
      <c r="I132" s="15"/>
      <c r="J132" s="8"/>
      <c r="K132" s="8"/>
      <c r="L132" s="5">
        <v>204883.1</v>
      </c>
      <c r="M132" s="5">
        <v>670</v>
      </c>
      <c r="N132" s="15"/>
      <c r="O132" s="5">
        <v>1099</v>
      </c>
      <c r="P132" s="15"/>
      <c r="Q132" s="15"/>
      <c r="R132" s="5">
        <v>0.75724499999999995</v>
      </c>
      <c r="AH132" s="5">
        <v>0.15705</v>
      </c>
      <c r="AO132" s="7"/>
      <c r="AP132" s="7"/>
      <c r="AQ132" s="7"/>
      <c r="AR132" s="7"/>
      <c r="AS132" s="7"/>
      <c r="AT132" s="7"/>
    </row>
    <row r="133" spans="1:46">
      <c r="A133" s="5" t="s">
        <v>352</v>
      </c>
      <c r="B133" s="5" t="s">
        <v>354</v>
      </c>
      <c r="C133" s="5" t="s">
        <v>91</v>
      </c>
      <c r="D133" s="5" t="s">
        <v>355</v>
      </c>
      <c r="E133" s="5">
        <v>2019</v>
      </c>
      <c r="F133" s="5">
        <v>196</v>
      </c>
      <c r="G133" s="15"/>
      <c r="H133" s="15"/>
      <c r="I133" s="15">
        <v>2.5000000000000001E-2</v>
      </c>
      <c r="J133" s="15">
        <v>7.0000000000000007E-2</v>
      </c>
      <c r="K133" s="15">
        <v>0.03</v>
      </c>
      <c r="L133" s="15"/>
      <c r="M133" s="15"/>
      <c r="N133" s="7">
        <v>0</v>
      </c>
      <c r="O133" s="15"/>
      <c r="P133" s="15"/>
      <c r="Q133" s="15"/>
      <c r="R133" s="1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>
        <v>0</v>
      </c>
      <c r="AM133" s="5"/>
      <c r="AN133" s="5">
        <v>2</v>
      </c>
      <c r="AO133" s="7"/>
      <c r="AP133" s="7"/>
      <c r="AQ133" s="7"/>
      <c r="AR133" s="7"/>
      <c r="AS133" s="7"/>
      <c r="AT133" s="7"/>
    </row>
    <row r="134" spans="1:46">
      <c r="A134" s="5" t="s">
        <v>352</v>
      </c>
      <c r="B134" s="5" t="s">
        <v>354</v>
      </c>
      <c r="C134" s="5" t="s">
        <v>97</v>
      </c>
      <c r="D134" s="5" t="s">
        <v>356</v>
      </c>
      <c r="E134">
        <v>2020</v>
      </c>
      <c r="F134" s="5">
        <v>183</v>
      </c>
      <c r="G134" s="15"/>
      <c r="H134" s="15"/>
      <c r="I134" s="15">
        <v>2.5000000000000001E-2</v>
      </c>
      <c r="J134" s="15">
        <v>7.0000000000000007E-2</v>
      </c>
      <c r="K134" s="15">
        <v>0.03</v>
      </c>
      <c r="L134" s="15"/>
      <c r="M134" s="15"/>
      <c r="N134" s="5">
        <v>1033</v>
      </c>
      <c r="O134" s="15"/>
      <c r="P134" s="15"/>
      <c r="Q134" s="15"/>
      <c r="R134" s="15"/>
      <c r="AO134" s="7">
        <v>3255</v>
      </c>
      <c r="AP134" s="7"/>
      <c r="AQ134" s="7"/>
      <c r="AR134" s="7"/>
      <c r="AS134" s="7">
        <v>500</v>
      </c>
      <c r="AT134" s="7"/>
    </row>
    <row r="135" spans="1:46">
      <c r="A135" s="5" t="s">
        <v>352</v>
      </c>
      <c r="B135" s="5" t="s">
        <v>357</v>
      </c>
      <c r="C135" s="5" t="s">
        <v>97</v>
      </c>
      <c r="D135" s="5" t="s">
        <v>358</v>
      </c>
      <c r="E135" s="5">
        <v>2019</v>
      </c>
      <c r="F135" s="5">
        <v>183</v>
      </c>
      <c r="G135" s="15"/>
      <c r="H135" s="15"/>
      <c r="I135" s="15">
        <v>2.5000000000000001E-2</v>
      </c>
      <c r="J135" s="15">
        <v>7.0000000000000007E-2</v>
      </c>
      <c r="K135" s="15">
        <v>0.03</v>
      </c>
      <c r="L135" s="15"/>
      <c r="M135" s="15"/>
      <c r="N135" s="7">
        <v>1008</v>
      </c>
      <c r="O135" s="15"/>
      <c r="P135" s="15"/>
      <c r="Q135" s="15"/>
      <c r="R135" s="1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>
        <v>0</v>
      </c>
      <c r="AM135" s="5"/>
      <c r="AN135" s="5">
        <v>2</v>
      </c>
      <c r="AO135" s="7">
        <v>6947</v>
      </c>
      <c r="AP135" s="7">
        <v>1471</v>
      </c>
      <c r="AQ135" s="7"/>
      <c r="AR135" s="7">
        <v>891</v>
      </c>
      <c r="AS135" s="7">
        <v>763</v>
      </c>
      <c r="AT135" s="7">
        <v>2135</v>
      </c>
    </row>
    <row r="136" spans="1:46">
      <c r="A136" s="5" t="s">
        <v>352</v>
      </c>
      <c r="B136" s="5" t="s">
        <v>357</v>
      </c>
      <c r="C136" s="5" t="s">
        <v>91</v>
      </c>
      <c r="D136" s="5" t="s">
        <v>359</v>
      </c>
      <c r="E136">
        <v>2020</v>
      </c>
      <c r="F136" s="5">
        <v>196</v>
      </c>
      <c r="G136" s="15"/>
      <c r="H136" s="15"/>
      <c r="I136" s="5">
        <v>2.75E-2</v>
      </c>
      <c r="J136" s="15">
        <v>7.0000000000000007E-2</v>
      </c>
      <c r="K136" s="15">
        <v>0.03</v>
      </c>
      <c r="L136" s="15"/>
      <c r="M136" s="15"/>
      <c r="N136" s="5">
        <v>0</v>
      </c>
      <c r="O136" s="15"/>
      <c r="P136" s="15"/>
      <c r="Q136" s="15"/>
      <c r="R136" s="15"/>
      <c r="AO136" s="7">
        <v>23519</v>
      </c>
      <c r="AP136" s="7">
        <v>4086</v>
      </c>
      <c r="AQ136" s="7"/>
      <c r="AR136" s="7"/>
      <c r="AS136" s="7">
        <v>10549</v>
      </c>
      <c r="AT136" s="7"/>
    </row>
    <row r="137" spans="1:46">
      <c r="A137" s="5" t="s">
        <v>360</v>
      </c>
      <c r="B137" s="5" t="s">
        <v>361</v>
      </c>
      <c r="C137" s="5" t="s">
        <v>91</v>
      </c>
      <c r="D137" s="5" t="s">
        <v>362</v>
      </c>
      <c r="E137" s="5">
        <v>2019</v>
      </c>
      <c r="F137" s="5">
        <v>169</v>
      </c>
      <c r="G137" s="5">
        <v>1593646</v>
      </c>
      <c r="H137" s="5">
        <v>380468.5</v>
      </c>
      <c r="I137" s="5">
        <v>0.03</v>
      </c>
      <c r="J137" s="5">
        <v>0.08</v>
      </c>
      <c r="K137" s="15">
        <v>0.03</v>
      </c>
      <c r="L137" s="5">
        <v>154798.79999999999</v>
      </c>
      <c r="M137" s="5">
        <v>3017</v>
      </c>
      <c r="N137" s="7">
        <v>0</v>
      </c>
      <c r="O137" s="5">
        <v>3255</v>
      </c>
      <c r="P137" s="5">
        <v>51.308999999999997</v>
      </c>
      <c r="Q137" s="5">
        <v>29.344000000000001</v>
      </c>
      <c r="R137" s="5">
        <v>0.48768</v>
      </c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>
        <v>7.9600000000000004E-2</v>
      </c>
      <c r="AM137" s="5">
        <v>6772</v>
      </c>
      <c r="AN137" s="5">
        <v>2</v>
      </c>
      <c r="AO137" s="7">
        <v>7123</v>
      </c>
      <c r="AP137" s="7"/>
      <c r="AQ137" s="7"/>
      <c r="AR137" s="7"/>
      <c r="AS137" s="7">
        <v>3009</v>
      </c>
      <c r="AT137" s="7"/>
    </row>
    <row r="138" spans="1:46">
      <c r="A138" s="5" t="s">
        <v>360</v>
      </c>
      <c r="B138" s="5" t="s">
        <v>361</v>
      </c>
      <c r="C138" s="5" t="s">
        <v>91</v>
      </c>
      <c r="D138" s="5" t="s">
        <v>363</v>
      </c>
      <c r="E138">
        <v>2020</v>
      </c>
      <c r="F138" s="5">
        <v>169</v>
      </c>
      <c r="G138" s="5">
        <v>1593646</v>
      </c>
      <c r="H138" s="5">
        <v>380468.5</v>
      </c>
      <c r="I138" s="5">
        <v>0.03</v>
      </c>
      <c r="J138" s="5">
        <v>7.0000000000000007E-2</v>
      </c>
      <c r="K138" s="15">
        <v>0.03</v>
      </c>
      <c r="L138" s="5">
        <v>159505</v>
      </c>
      <c r="M138" s="5">
        <v>3017</v>
      </c>
      <c r="N138" s="5">
        <v>0</v>
      </c>
      <c r="O138" s="5">
        <v>3255</v>
      </c>
      <c r="P138" s="5">
        <v>51.308999999999997</v>
      </c>
      <c r="Q138" s="5">
        <v>29.344000000000001</v>
      </c>
      <c r="R138" s="5">
        <v>0.48768</v>
      </c>
      <c r="AO138" s="7"/>
      <c r="AP138" s="7"/>
      <c r="AQ138" s="7"/>
      <c r="AR138" s="7"/>
      <c r="AS138" s="7">
        <v>85</v>
      </c>
      <c r="AT138" s="7"/>
    </row>
    <row r="139" spans="1:46">
      <c r="A139" t="s">
        <v>364</v>
      </c>
      <c r="B139" s="5" t="s">
        <v>365</v>
      </c>
      <c r="C139" t="s">
        <v>119</v>
      </c>
      <c r="D139" t="s">
        <v>366</v>
      </c>
      <c r="E139">
        <v>2018</v>
      </c>
      <c r="F139" s="5">
        <v>55</v>
      </c>
      <c r="G139" s="5">
        <v>3749251</v>
      </c>
      <c r="H139" s="5">
        <v>3297011</v>
      </c>
      <c r="I139" s="5">
        <v>0.03</v>
      </c>
      <c r="J139" s="8"/>
      <c r="K139" s="8"/>
      <c r="L139" s="5">
        <v>335065.90000000002</v>
      </c>
      <c r="M139" s="5">
        <v>4042</v>
      </c>
      <c r="N139" s="5">
        <v>1</v>
      </c>
      <c r="O139" s="5">
        <v>2779</v>
      </c>
      <c r="P139" s="5">
        <v>41.9</v>
      </c>
      <c r="Q139" s="5">
        <v>68.099999999999994</v>
      </c>
      <c r="R139" s="5">
        <v>0.23372200000000001</v>
      </c>
      <c r="AH139" s="5">
        <v>0.2442</v>
      </c>
      <c r="AO139" s="7">
        <v>4380</v>
      </c>
      <c r="AP139" s="7">
        <v>510</v>
      </c>
      <c r="AQ139" s="7"/>
      <c r="AR139" s="7"/>
      <c r="AS139" s="7">
        <v>2561</v>
      </c>
      <c r="AT139" s="7"/>
    </row>
    <row r="140" spans="1:46">
      <c r="A140" s="5" t="s">
        <v>40</v>
      </c>
      <c r="B140" s="5" t="s">
        <v>153</v>
      </c>
      <c r="C140" s="5" t="s">
        <v>91</v>
      </c>
      <c r="D140" s="5" t="s">
        <v>154</v>
      </c>
      <c r="E140" s="5">
        <v>2019</v>
      </c>
      <c r="F140" s="5">
        <v>144</v>
      </c>
      <c r="G140" s="5">
        <v>10602166</v>
      </c>
      <c r="H140" s="5">
        <v>7595073</v>
      </c>
      <c r="I140" s="5">
        <v>3.0499999999999999E-2</v>
      </c>
      <c r="J140" s="5">
        <v>6.5000000000000002E-2</v>
      </c>
      <c r="K140" s="15">
        <v>0.03</v>
      </c>
      <c r="L140" s="5">
        <v>484764.5</v>
      </c>
      <c r="M140" s="5">
        <v>5757</v>
      </c>
      <c r="N140" s="7">
        <v>500</v>
      </c>
      <c r="O140" s="5">
        <v>10205</v>
      </c>
      <c r="P140" s="5">
        <v>84.203999999999994</v>
      </c>
      <c r="Q140" s="5">
        <v>50.119</v>
      </c>
      <c r="R140" s="5">
        <v>0.8054</v>
      </c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>
        <v>0.1348</v>
      </c>
      <c r="AM140" s="5">
        <v>16710</v>
      </c>
      <c r="AN140" s="5">
        <v>2</v>
      </c>
      <c r="AO140" s="7">
        <v>3893</v>
      </c>
      <c r="AP140" s="7">
        <v>268</v>
      </c>
      <c r="AQ140" s="7"/>
      <c r="AR140" s="7"/>
      <c r="AS140" s="7">
        <v>703</v>
      </c>
      <c r="AT140" s="7">
        <v>2857</v>
      </c>
    </row>
    <row r="141" spans="1:46">
      <c r="A141" s="5" t="s">
        <v>40</v>
      </c>
      <c r="B141" s="5" t="s">
        <v>153</v>
      </c>
      <c r="C141" s="5" t="s">
        <v>91</v>
      </c>
      <c r="D141" s="5" t="s">
        <v>367</v>
      </c>
      <c r="E141">
        <v>2020</v>
      </c>
      <c r="F141" s="5">
        <v>144</v>
      </c>
      <c r="G141" s="5">
        <v>11206326</v>
      </c>
      <c r="H141" s="5">
        <v>7870672</v>
      </c>
      <c r="I141" s="5">
        <v>3.0499999999999999E-2</v>
      </c>
      <c r="J141" s="5">
        <v>6.5000000000000002E-2</v>
      </c>
      <c r="K141" s="15">
        <v>0.03</v>
      </c>
      <c r="L141" s="5">
        <v>501203.7</v>
      </c>
      <c r="M141" s="5">
        <v>5535</v>
      </c>
      <c r="N141" s="5">
        <v>500</v>
      </c>
      <c r="O141" s="5">
        <v>10409</v>
      </c>
      <c r="P141" s="5">
        <v>90.552000000000007</v>
      </c>
      <c r="Q141" s="5">
        <v>51.09</v>
      </c>
      <c r="R141" s="5">
        <v>0.87980000000000003</v>
      </c>
      <c r="AO141" s="7">
        <v>3721</v>
      </c>
      <c r="AP141" s="7">
        <v>360</v>
      </c>
      <c r="AQ141" s="7"/>
      <c r="AR141" s="7">
        <v>92</v>
      </c>
      <c r="AS141" s="7">
        <v>2491</v>
      </c>
      <c r="AT141" s="7">
        <v>2834</v>
      </c>
    </row>
    <row r="142" spans="1:46">
      <c r="A142" s="5" t="s">
        <v>44</v>
      </c>
      <c r="B142" s="5" t="s">
        <v>155</v>
      </c>
      <c r="C142" s="5" t="s">
        <v>91</v>
      </c>
      <c r="D142" s="5" t="s">
        <v>368</v>
      </c>
      <c r="E142" s="5">
        <v>2019</v>
      </c>
      <c r="F142" s="5">
        <v>98</v>
      </c>
      <c r="G142" s="5">
        <v>28798581</v>
      </c>
      <c r="H142" s="5">
        <v>25247549</v>
      </c>
      <c r="I142" s="5">
        <v>2.75E-2</v>
      </c>
      <c r="J142" s="5">
        <v>7.3999999999999996E-2</v>
      </c>
      <c r="K142" s="15">
        <v>0.03</v>
      </c>
      <c r="L142" s="5">
        <v>3549936</v>
      </c>
      <c r="M142" s="5">
        <v>34202</v>
      </c>
      <c r="N142" s="7">
        <v>2905</v>
      </c>
      <c r="O142" s="5">
        <v>30778</v>
      </c>
      <c r="P142" s="5">
        <v>98.787000000000006</v>
      </c>
      <c r="Q142" s="5">
        <v>49.173000000000002</v>
      </c>
      <c r="R142" s="5">
        <v>0.26900000000000002</v>
      </c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>
        <v>7.6100000000000001E-2</v>
      </c>
      <c r="AM142" s="5">
        <v>74935</v>
      </c>
      <c r="AN142" s="5">
        <v>2</v>
      </c>
      <c r="AO142" s="7">
        <v>2570</v>
      </c>
      <c r="AP142" s="7">
        <v>369</v>
      </c>
      <c r="AQ142" s="7"/>
      <c r="AR142" s="7">
        <v>64</v>
      </c>
      <c r="AS142" s="7">
        <v>324</v>
      </c>
      <c r="AT142" s="7">
        <v>192</v>
      </c>
    </row>
    <row r="143" spans="1:46">
      <c r="A143" s="5" t="s">
        <v>44</v>
      </c>
      <c r="B143" s="5" t="s">
        <v>155</v>
      </c>
      <c r="C143" s="5" t="s">
        <v>91</v>
      </c>
      <c r="D143" s="5" t="s">
        <v>369</v>
      </c>
      <c r="E143">
        <v>2020</v>
      </c>
      <c r="F143" s="5">
        <v>98</v>
      </c>
      <c r="G143" s="5">
        <v>29499918</v>
      </c>
      <c r="H143" s="5">
        <v>26695845</v>
      </c>
      <c r="I143" s="5">
        <v>2.5000000000000001E-2</v>
      </c>
      <c r="J143" s="5">
        <v>7.3999999999999996E-2</v>
      </c>
      <c r="K143" s="15">
        <v>0.03</v>
      </c>
      <c r="L143" s="5">
        <v>3703103</v>
      </c>
      <c r="M143" s="5">
        <v>34521</v>
      </c>
      <c r="N143" s="5">
        <v>2898</v>
      </c>
      <c r="O143" s="5">
        <v>30128</v>
      </c>
      <c r="P143" s="5">
        <v>103.8</v>
      </c>
      <c r="Q143" s="5">
        <v>52.707999999999998</v>
      </c>
      <c r="R143" s="5">
        <v>0.24410000000000001</v>
      </c>
      <c r="AO143" s="7"/>
      <c r="AP143" s="7"/>
      <c r="AQ143" s="7"/>
      <c r="AR143" s="7"/>
      <c r="AS143" s="7">
        <v>180</v>
      </c>
      <c r="AT143" s="7">
        <v>2372</v>
      </c>
    </row>
    <row r="144" spans="1:46">
      <c r="A144" t="s">
        <v>370</v>
      </c>
      <c r="B144" s="5" t="s">
        <v>371</v>
      </c>
      <c r="C144" t="s">
        <v>119</v>
      </c>
      <c r="D144" t="s">
        <v>372</v>
      </c>
      <c r="E144">
        <v>2018</v>
      </c>
      <c r="F144" s="5">
        <v>56</v>
      </c>
      <c r="G144" s="5">
        <v>4696428</v>
      </c>
      <c r="H144" s="5">
        <v>3596590</v>
      </c>
      <c r="I144" s="5">
        <v>2.75E-2</v>
      </c>
      <c r="J144" s="8"/>
      <c r="K144" s="8"/>
      <c r="L144" s="5">
        <v>218429</v>
      </c>
      <c r="M144" s="5">
        <v>1638</v>
      </c>
      <c r="N144" s="5">
        <v>324</v>
      </c>
      <c r="O144" s="5">
        <v>2250</v>
      </c>
      <c r="P144" s="5">
        <v>42</v>
      </c>
      <c r="Q144" s="5">
        <v>66.599999999999994</v>
      </c>
      <c r="R144" s="5">
        <v>0.43874999999999997</v>
      </c>
      <c r="AH144" s="5">
        <v>0.253025</v>
      </c>
    </row>
    <row r="145" spans="1:40">
      <c r="A145" s="5" t="s">
        <v>42</v>
      </c>
      <c r="B145" s="5" t="s">
        <v>157</v>
      </c>
      <c r="C145" s="5" t="s">
        <v>91</v>
      </c>
      <c r="D145" s="5" t="s">
        <v>158</v>
      </c>
      <c r="E145" s="5">
        <v>2019</v>
      </c>
      <c r="F145" s="5">
        <v>156</v>
      </c>
      <c r="G145" s="5">
        <v>4411100</v>
      </c>
      <c r="H145" s="5">
        <v>3040700</v>
      </c>
      <c r="I145" s="5">
        <v>2.75E-2</v>
      </c>
      <c r="J145" s="5">
        <v>7.2499999999999995E-2</v>
      </c>
      <c r="K145" s="15">
        <v>0.03</v>
      </c>
      <c r="L145" s="5">
        <v>785600</v>
      </c>
      <c r="M145" s="5">
        <v>9440</v>
      </c>
      <c r="N145" s="7">
        <v>9955</v>
      </c>
      <c r="O145" s="5">
        <v>7029</v>
      </c>
      <c r="P145" s="5">
        <v>86.832999999999998</v>
      </c>
      <c r="Q145" s="5">
        <v>30.472999999999999</v>
      </c>
      <c r="R145" s="5">
        <v>0.161</v>
      </c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>
        <v>9.4600000000000004E-2</v>
      </c>
      <c r="AM145" s="5">
        <v>19281</v>
      </c>
      <c r="AN145" s="5">
        <v>2</v>
      </c>
    </row>
    <row r="146" spans="1:40">
      <c r="A146" s="5" t="s">
        <v>42</v>
      </c>
      <c r="B146" s="5" t="s">
        <v>157</v>
      </c>
      <c r="C146" s="5" t="s">
        <v>91</v>
      </c>
      <c r="D146" s="5" t="s">
        <v>373</v>
      </c>
      <c r="E146">
        <v>2020</v>
      </c>
      <c r="F146" s="5">
        <v>156</v>
      </c>
      <c r="G146" s="5">
        <v>4673100</v>
      </c>
      <c r="H146" s="5">
        <v>3345800</v>
      </c>
      <c r="I146" s="5">
        <v>2.75E-2</v>
      </c>
      <c r="J146" s="5">
        <v>7.2499999999999995E-2</v>
      </c>
      <c r="K146" s="15">
        <v>0.03</v>
      </c>
      <c r="L146" s="5">
        <v>876900</v>
      </c>
      <c r="M146" s="5">
        <v>9287</v>
      </c>
      <c r="N146" s="5">
        <v>10549</v>
      </c>
      <c r="O146" s="5">
        <v>7123</v>
      </c>
      <c r="P146" s="5">
        <v>94.561999999999998</v>
      </c>
      <c r="Q146" s="5">
        <v>31.257999999999999</v>
      </c>
      <c r="R146" s="5">
        <v>0.15329999999999999</v>
      </c>
    </row>
    <row r="147" spans="1:40">
      <c r="A147" s="5" t="s">
        <v>374</v>
      </c>
      <c r="B147" s="5" t="s">
        <v>375</v>
      </c>
      <c r="C147" s="5" t="s">
        <v>91</v>
      </c>
      <c r="D147" s="5" t="s">
        <v>376</v>
      </c>
      <c r="E147" s="5">
        <v>2019</v>
      </c>
      <c r="F147" s="5">
        <v>185</v>
      </c>
      <c r="G147" s="5">
        <v>502132.5</v>
      </c>
      <c r="H147" s="5">
        <v>501591.6</v>
      </c>
      <c r="I147" s="5">
        <v>2.75E-2</v>
      </c>
      <c r="J147" s="5">
        <v>7.2999999999999995E-2</v>
      </c>
      <c r="K147" s="15">
        <v>0.03</v>
      </c>
      <c r="L147" s="5">
        <v>42823.16</v>
      </c>
      <c r="M147" s="5">
        <v>577</v>
      </c>
      <c r="N147" s="7">
        <v>2812</v>
      </c>
      <c r="O147" s="5">
        <v>705</v>
      </c>
      <c r="P147" s="5">
        <v>74.216999999999999</v>
      </c>
      <c r="Q147" s="5">
        <v>32.085999999999999</v>
      </c>
      <c r="R147" s="5">
        <v>0.25014999999999998</v>
      </c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>
        <v>6.5119999999999997E-2</v>
      </c>
      <c r="AM147" s="5">
        <v>1365</v>
      </c>
      <c r="AN147" s="5">
        <v>2</v>
      </c>
    </row>
    <row r="148" spans="1:40">
      <c r="A148" s="5" t="s">
        <v>374</v>
      </c>
      <c r="B148" s="5" t="s">
        <v>375</v>
      </c>
      <c r="C148" s="5" t="s">
        <v>91</v>
      </c>
      <c r="D148" s="5" t="s">
        <v>377</v>
      </c>
      <c r="E148">
        <v>2020</v>
      </c>
      <c r="F148" s="5">
        <v>185</v>
      </c>
      <c r="G148" s="5">
        <v>522115.5</v>
      </c>
      <c r="H148" s="5">
        <v>529123.19999999995</v>
      </c>
      <c r="I148" s="5">
        <v>2.75E-2</v>
      </c>
      <c r="J148" s="5">
        <v>7.2999999999999995E-2</v>
      </c>
      <c r="K148" s="15">
        <v>0.03</v>
      </c>
      <c r="L148" s="5">
        <v>43388.95</v>
      </c>
      <c r="M148" s="5">
        <v>545</v>
      </c>
      <c r="N148" s="5">
        <v>3009</v>
      </c>
      <c r="O148" s="5">
        <v>714</v>
      </c>
      <c r="P148" s="5">
        <v>79.613</v>
      </c>
      <c r="Q148" s="5">
        <v>32.965000000000003</v>
      </c>
      <c r="R148" s="5">
        <v>0.23042000000000001</v>
      </c>
    </row>
    <row r="149" spans="1:40">
      <c r="A149" t="s">
        <v>374</v>
      </c>
      <c r="B149" s="5" t="s">
        <v>378</v>
      </c>
      <c r="C149" t="s">
        <v>94</v>
      </c>
      <c r="D149" t="s">
        <v>379</v>
      </c>
      <c r="E149">
        <v>2018</v>
      </c>
      <c r="F149" s="5">
        <v>57</v>
      </c>
      <c r="G149" s="5">
        <v>174209.2</v>
      </c>
      <c r="H149" s="5">
        <v>171591.2</v>
      </c>
      <c r="I149" s="5">
        <v>2.75E-2</v>
      </c>
      <c r="J149" s="8"/>
      <c r="K149" s="8"/>
      <c r="L149" s="5">
        <v>11710.12</v>
      </c>
      <c r="M149" s="5">
        <v>146</v>
      </c>
      <c r="N149" s="5">
        <v>4</v>
      </c>
      <c r="O149" s="5">
        <v>168</v>
      </c>
      <c r="P149" s="5">
        <v>45</v>
      </c>
      <c r="Q149" s="8"/>
      <c r="R149" s="5">
        <v>0.338667</v>
      </c>
      <c r="AH149" s="5">
        <v>0.29136699999999999</v>
      </c>
    </row>
    <row r="150" spans="1:40">
      <c r="A150" t="s">
        <v>380</v>
      </c>
      <c r="B150" s="5" t="s">
        <v>381</v>
      </c>
      <c r="C150" t="s">
        <v>94</v>
      </c>
      <c r="D150" t="s">
        <v>382</v>
      </c>
      <c r="E150">
        <v>2018</v>
      </c>
      <c r="F150" s="5">
        <v>59</v>
      </c>
      <c r="G150" s="5">
        <v>21433</v>
      </c>
      <c r="H150" s="5">
        <v>13920</v>
      </c>
      <c r="I150" s="8"/>
      <c r="J150" s="8"/>
      <c r="K150" s="8"/>
      <c r="L150" s="5">
        <v>0</v>
      </c>
      <c r="M150" s="5">
        <v>1</v>
      </c>
      <c r="N150" s="8"/>
      <c r="O150" s="8"/>
      <c r="P150" s="8"/>
      <c r="Q150" s="8"/>
      <c r="R150" s="5">
        <v>28.80818</v>
      </c>
      <c r="AH150" s="5">
        <v>0</v>
      </c>
    </row>
    <row r="151" spans="1:40">
      <c r="A151" s="5" t="s">
        <v>383</v>
      </c>
      <c r="B151" s="5" t="s">
        <v>384</v>
      </c>
      <c r="C151" s="5" t="s">
        <v>91</v>
      </c>
      <c r="D151" s="5" t="s">
        <v>385</v>
      </c>
      <c r="E151" s="5">
        <v>2019</v>
      </c>
      <c r="F151" s="5">
        <v>200</v>
      </c>
      <c r="G151" s="5">
        <v>1015455</v>
      </c>
      <c r="H151" s="5">
        <v>830686</v>
      </c>
      <c r="I151" s="5">
        <v>2.5000000000000001E-2</v>
      </c>
      <c r="J151" s="5">
        <v>7.4999999999999997E-2</v>
      </c>
      <c r="K151" s="15">
        <v>0.03</v>
      </c>
      <c r="L151" s="5">
        <v>228673.6</v>
      </c>
      <c r="M151" s="5">
        <v>5144</v>
      </c>
      <c r="N151" s="7">
        <v>2561</v>
      </c>
      <c r="O151" s="5">
        <v>4782</v>
      </c>
      <c r="P151" s="5">
        <v>44.454000000000001</v>
      </c>
      <c r="Q151" s="5">
        <v>12.512</v>
      </c>
      <c r="R151" s="5">
        <v>0.13189999999999999</v>
      </c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>
        <v>6.4999999999999997E-4</v>
      </c>
      <c r="AM151" s="5">
        <v>12487</v>
      </c>
      <c r="AN151" s="5">
        <v>2</v>
      </c>
    </row>
    <row r="152" spans="1:40">
      <c r="A152" s="5" t="s">
        <v>383</v>
      </c>
      <c r="B152" s="5" t="s">
        <v>384</v>
      </c>
      <c r="C152" s="5" t="s">
        <v>114</v>
      </c>
      <c r="D152" s="5" t="s">
        <v>386</v>
      </c>
      <c r="E152">
        <v>2020</v>
      </c>
      <c r="F152" s="5">
        <v>102</v>
      </c>
      <c r="G152" s="5">
        <v>1084125</v>
      </c>
      <c r="H152" s="5">
        <v>841450.4</v>
      </c>
      <c r="I152" s="5">
        <v>2.5000000000000001E-2</v>
      </c>
      <c r="J152" s="5">
        <v>7.2499999999999995E-2</v>
      </c>
      <c r="K152" s="15">
        <v>0.03</v>
      </c>
      <c r="L152" s="5">
        <v>228162.8</v>
      </c>
      <c r="M152" s="5">
        <v>4984</v>
      </c>
      <c r="N152" s="5">
        <v>85</v>
      </c>
      <c r="O152" s="5">
        <v>4890</v>
      </c>
      <c r="P152" s="5">
        <v>45.779000000000003</v>
      </c>
      <c r="Q152" s="5">
        <v>12.803000000000001</v>
      </c>
      <c r="R152" s="5">
        <v>0.1542</v>
      </c>
    </row>
    <row r="153" spans="1:40">
      <c r="A153" t="s">
        <v>383</v>
      </c>
      <c r="B153" s="5" t="s">
        <v>387</v>
      </c>
      <c r="C153" t="s">
        <v>94</v>
      </c>
      <c r="D153" t="s">
        <v>388</v>
      </c>
      <c r="E153">
        <v>2018</v>
      </c>
      <c r="F153" s="5">
        <v>76</v>
      </c>
      <c r="G153" s="5">
        <v>473844.7</v>
      </c>
      <c r="H153" s="5">
        <v>473844.7</v>
      </c>
      <c r="I153" s="5">
        <v>0.03</v>
      </c>
      <c r="J153" s="8"/>
      <c r="K153" s="8"/>
      <c r="L153" s="5">
        <v>34509.07</v>
      </c>
      <c r="M153" s="5">
        <v>520</v>
      </c>
      <c r="N153" s="8"/>
      <c r="O153" s="5">
        <v>894</v>
      </c>
      <c r="P153" s="8"/>
      <c r="Q153" s="8"/>
      <c r="R153" s="5">
        <v>0</v>
      </c>
      <c r="AH153" s="5"/>
    </row>
    <row r="154" spans="1:40">
      <c r="A154" t="s">
        <v>383</v>
      </c>
      <c r="B154" s="5" t="s">
        <v>389</v>
      </c>
      <c r="C154" t="s">
        <v>97</v>
      </c>
      <c r="D154" t="s">
        <v>390</v>
      </c>
      <c r="E154">
        <v>2018</v>
      </c>
      <c r="F154" s="5">
        <v>60</v>
      </c>
      <c r="G154" s="5">
        <v>1006339</v>
      </c>
      <c r="H154" s="5">
        <v>788583.3</v>
      </c>
      <c r="I154" s="5">
        <v>0.03</v>
      </c>
      <c r="J154" s="8"/>
      <c r="K154" s="8"/>
      <c r="L154" s="5">
        <v>81052.5</v>
      </c>
      <c r="M154" s="5">
        <v>1261</v>
      </c>
      <c r="N154" s="8"/>
      <c r="O154" s="5">
        <v>1920</v>
      </c>
      <c r="P154" s="5">
        <v>39.19</v>
      </c>
      <c r="Q154" s="8"/>
      <c r="R154" s="5">
        <v>0.39860000000000001</v>
      </c>
      <c r="AH154" s="5"/>
    </row>
    <row r="155" spans="1:40">
      <c r="A155" s="5" t="s">
        <v>383</v>
      </c>
      <c r="B155" s="5" t="s">
        <v>391</v>
      </c>
      <c r="C155" s="5" t="s">
        <v>114</v>
      </c>
      <c r="D155" s="5" t="s">
        <v>392</v>
      </c>
      <c r="E155" s="5">
        <v>2019</v>
      </c>
      <c r="F155" s="5">
        <v>102</v>
      </c>
      <c r="G155" s="5">
        <v>1241617</v>
      </c>
      <c r="H155" s="5">
        <v>888759.2</v>
      </c>
      <c r="I155" s="5">
        <v>2.75E-2</v>
      </c>
      <c r="J155" s="5">
        <v>7.4999999999999997E-2</v>
      </c>
      <c r="K155" s="15">
        <v>0.03</v>
      </c>
      <c r="L155" s="5">
        <v>272973.40000000002</v>
      </c>
      <c r="M155" s="5">
        <v>5108</v>
      </c>
      <c r="N155" s="7">
        <v>83</v>
      </c>
      <c r="O155" s="5">
        <v>4477</v>
      </c>
      <c r="P155" s="5">
        <v>53.44</v>
      </c>
      <c r="Q155" s="5">
        <v>23.736000000000001</v>
      </c>
      <c r="R155" s="5">
        <v>0.18179999999999999</v>
      </c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>
        <v>5.5E-2</v>
      </c>
      <c r="AM155" s="5">
        <v>10232</v>
      </c>
      <c r="AN155" s="5">
        <v>5</v>
      </c>
    </row>
    <row r="156" spans="1:40">
      <c r="A156" s="5" t="s">
        <v>383</v>
      </c>
      <c r="B156" s="5" t="s">
        <v>391</v>
      </c>
      <c r="C156" s="5" t="s">
        <v>91</v>
      </c>
      <c r="D156" s="5" t="s">
        <v>393</v>
      </c>
      <c r="E156">
        <v>2020</v>
      </c>
      <c r="F156" s="5">
        <v>200</v>
      </c>
      <c r="G156" s="5">
        <v>1221293</v>
      </c>
      <c r="H156" s="5">
        <v>894772.2</v>
      </c>
      <c r="I156" s="5">
        <v>2.75E-2</v>
      </c>
      <c r="J156" s="5">
        <v>7.4999999999999997E-2</v>
      </c>
      <c r="K156" s="15">
        <v>0.03</v>
      </c>
      <c r="L156" s="5">
        <v>264676.8</v>
      </c>
      <c r="M156" s="5">
        <v>4984</v>
      </c>
      <c r="N156" s="5">
        <v>2561</v>
      </c>
      <c r="O156" s="5">
        <v>4386</v>
      </c>
      <c r="P156" s="5">
        <v>53.104999999999997</v>
      </c>
      <c r="Q156" s="5">
        <v>24.06</v>
      </c>
      <c r="R156" s="5">
        <v>0.17100000000000001</v>
      </c>
    </row>
    <row r="157" spans="1:40">
      <c r="A157" s="5" t="s">
        <v>394</v>
      </c>
      <c r="B157" s="5" t="s">
        <v>395</v>
      </c>
      <c r="C157" s="5" t="s">
        <v>114</v>
      </c>
      <c r="D157" s="5" t="s">
        <v>396</v>
      </c>
      <c r="E157" s="5">
        <v>2019</v>
      </c>
      <c r="F157" s="5">
        <v>103</v>
      </c>
      <c r="G157" s="5">
        <v>1691721</v>
      </c>
      <c r="H157" s="5">
        <v>1079552</v>
      </c>
      <c r="I157" s="5">
        <v>2.5000000000000001E-2</v>
      </c>
      <c r="J157" s="5">
        <v>7.4999999999999997E-2</v>
      </c>
      <c r="K157" s="15">
        <v>0.03</v>
      </c>
      <c r="L157" s="5">
        <v>268614</v>
      </c>
      <c r="M157" s="5">
        <v>3347</v>
      </c>
      <c r="N157" s="7">
        <v>3274</v>
      </c>
      <c r="O157" s="5">
        <v>4124</v>
      </c>
      <c r="P157" s="5">
        <v>79.893000000000001</v>
      </c>
      <c r="Q157" s="5">
        <v>28.22</v>
      </c>
      <c r="R157" s="5">
        <v>0.1759</v>
      </c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>
        <v>7.4999999999999997E-2</v>
      </c>
      <c r="AM157" s="5">
        <v>9960</v>
      </c>
      <c r="AN157" s="5">
        <v>5</v>
      </c>
    </row>
    <row r="158" spans="1:40">
      <c r="A158" s="5" t="s">
        <v>394</v>
      </c>
      <c r="B158" s="5" t="s">
        <v>395</v>
      </c>
      <c r="C158" s="5" t="s">
        <v>114</v>
      </c>
      <c r="D158" s="5" t="s">
        <v>397</v>
      </c>
      <c r="E158">
        <v>2020</v>
      </c>
      <c r="F158" s="5">
        <v>103</v>
      </c>
      <c r="G158" s="5">
        <v>1691236</v>
      </c>
      <c r="H158" s="5">
        <v>1090243</v>
      </c>
      <c r="I158" s="5">
        <v>2.5000000000000001E-2</v>
      </c>
      <c r="J158" s="5">
        <v>7.4999999999999997E-2</v>
      </c>
      <c r="K158" s="15">
        <v>0.03</v>
      </c>
      <c r="L158" s="5">
        <v>274667</v>
      </c>
      <c r="M158" s="5">
        <v>3353</v>
      </c>
      <c r="N158" s="5">
        <v>3560</v>
      </c>
      <c r="O158" s="5">
        <v>4194</v>
      </c>
      <c r="P158" s="5">
        <v>82.247</v>
      </c>
      <c r="Q158" s="5">
        <v>27.97</v>
      </c>
      <c r="R158" s="5">
        <v>0.17660000000000001</v>
      </c>
    </row>
    <row r="159" spans="1:40">
      <c r="A159" t="s">
        <v>398</v>
      </c>
      <c r="B159" s="5" t="s">
        <v>399</v>
      </c>
      <c r="C159" t="s">
        <v>119</v>
      </c>
      <c r="D159" t="s">
        <v>400</v>
      </c>
      <c r="E159">
        <v>2018</v>
      </c>
      <c r="F159" s="5">
        <v>61</v>
      </c>
      <c r="G159" s="5">
        <v>1318531</v>
      </c>
      <c r="H159" s="5">
        <v>1266175</v>
      </c>
      <c r="I159" s="5">
        <v>0.03</v>
      </c>
      <c r="J159" s="8"/>
      <c r="K159" s="8"/>
      <c r="L159" s="5">
        <v>122597.3</v>
      </c>
      <c r="M159" s="5">
        <v>1410</v>
      </c>
      <c r="N159" s="5">
        <v>15</v>
      </c>
      <c r="O159" s="5">
        <v>1965</v>
      </c>
      <c r="P159" s="5">
        <v>38.200000000000003</v>
      </c>
      <c r="Q159" s="8"/>
      <c r="R159" s="5">
        <v>0.186</v>
      </c>
      <c r="AH159" s="5">
        <v>0.27060000000000001</v>
      </c>
    </row>
    <row r="160" spans="1:40">
      <c r="A160" s="5" t="s">
        <v>401</v>
      </c>
      <c r="B160" s="5" t="s">
        <v>402</v>
      </c>
      <c r="C160" s="5" t="s">
        <v>91</v>
      </c>
      <c r="D160" s="5" t="s">
        <v>403</v>
      </c>
      <c r="E160" s="5">
        <v>2019</v>
      </c>
      <c r="F160" s="5">
        <v>176</v>
      </c>
      <c r="G160" s="5">
        <v>1129492</v>
      </c>
      <c r="H160" s="5">
        <v>822835</v>
      </c>
      <c r="I160" s="5">
        <v>2.5000000000000001E-2</v>
      </c>
      <c r="J160" s="5">
        <v>7.0000000000000007E-2</v>
      </c>
      <c r="K160" s="15">
        <v>0.03</v>
      </c>
      <c r="L160" s="5">
        <v>123823</v>
      </c>
      <c r="M160" s="5">
        <v>2508</v>
      </c>
      <c r="N160" s="7">
        <v>5231</v>
      </c>
      <c r="O160" s="5">
        <v>3101</v>
      </c>
      <c r="P160" s="5">
        <v>49.371000000000002</v>
      </c>
      <c r="Q160" s="5">
        <v>24.36</v>
      </c>
      <c r="R160" s="5">
        <v>0.2472</v>
      </c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>
        <v>5.3400000000000003E-2</v>
      </c>
      <c r="AM160" s="5">
        <v>5937</v>
      </c>
      <c r="AN160" s="5">
        <v>2</v>
      </c>
    </row>
    <row r="161" spans="1:40">
      <c r="A161" s="5" t="s">
        <v>401</v>
      </c>
      <c r="B161" s="5" t="s">
        <v>402</v>
      </c>
      <c r="C161" s="5" t="s">
        <v>91</v>
      </c>
      <c r="D161" s="5" t="s">
        <v>404</v>
      </c>
      <c r="E161">
        <v>2020</v>
      </c>
      <c r="F161" s="5">
        <v>176</v>
      </c>
      <c r="G161" s="5">
        <v>1148930</v>
      </c>
      <c r="H161" s="5">
        <v>842425</v>
      </c>
      <c r="I161" s="5">
        <v>2.5000000000000001E-2</v>
      </c>
      <c r="J161" s="5">
        <v>7.0000000000000007E-2</v>
      </c>
      <c r="K161" s="15">
        <v>0.03</v>
      </c>
      <c r="L161" s="5">
        <v>127378</v>
      </c>
      <c r="M161" s="5">
        <v>2482</v>
      </c>
      <c r="N161" s="5">
        <v>5325</v>
      </c>
      <c r="O161" s="5">
        <v>3145</v>
      </c>
      <c r="P161" s="5">
        <v>51.320999999999998</v>
      </c>
      <c r="Q161" s="5">
        <v>24.523</v>
      </c>
      <c r="R161" s="5">
        <v>0.2412</v>
      </c>
    </row>
    <row r="162" spans="1:40">
      <c r="A162" s="5" t="s">
        <v>405</v>
      </c>
      <c r="B162" s="5" t="s">
        <v>406</v>
      </c>
      <c r="C162" s="5" t="s">
        <v>91</v>
      </c>
      <c r="D162" s="5" t="s">
        <v>407</v>
      </c>
      <c r="E162" s="5">
        <v>2019</v>
      </c>
      <c r="F162" s="5">
        <v>179</v>
      </c>
      <c r="G162" s="5">
        <v>675257.1</v>
      </c>
      <c r="H162" s="5">
        <v>613063.1</v>
      </c>
      <c r="I162" s="5">
        <v>2.75E-2</v>
      </c>
      <c r="J162" s="5">
        <v>7.5999999999999998E-2</v>
      </c>
      <c r="K162" s="15">
        <v>0.03</v>
      </c>
      <c r="L162" s="5">
        <v>80029.36</v>
      </c>
      <c r="M162" s="5">
        <v>1441</v>
      </c>
      <c r="N162" s="7">
        <v>479</v>
      </c>
      <c r="O162" s="5">
        <v>1430</v>
      </c>
      <c r="P162" s="5">
        <v>51.063000000000002</v>
      </c>
      <c r="Q162" s="5">
        <v>28.324000000000002</v>
      </c>
      <c r="R162" s="5">
        <v>0.13900000000000001</v>
      </c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>
        <v>4.7E-2</v>
      </c>
      <c r="AM162" s="5">
        <v>3011</v>
      </c>
      <c r="AN162" s="5">
        <v>2</v>
      </c>
    </row>
    <row r="163" spans="1:40">
      <c r="A163" s="5" t="s">
        <v>405</v>
      </c>
      <c r="B163" s="5" t="s">
        <v>406</v>
      </c>
      <c r="C163" s="5" t="s">
        <v>91</v>
      </c>
      <c r="D163" s="5" t="s">
        <v>408</v>
      </c>
      <c r="E163">
        <v>2020</v>
      </c>
      <c r="F163" s="5">
        <v>179</v>
      </c>
      <c r="G163" s="5">
        <v>686221.1</v>
      </c>
      <c r="H163" s="5">
        <v>636877</v>
      </c>
      <c r="I163" s="5">
        <v>2.75E-2</v>
      </c>
      <c r="J163" s="5">
        <v>7.5899999999999995E-2</v>
      </c>
      <c r="K163" s="15">
        <v>0.03</v>
      </c>
      <c r="L163" s="5">
        <v>80365.63</v>
      </c>
      <c r="M163" s="5">
        <v>1347</v>
      </c>
      <c r="N163" s="5">
        <v>516</v>
      </c>
      <c r="O163" s="5">
        <v>1459</v>
      </c>
      <c r="P163" s="5">
        <v>52.191000000000003</v>
      </c>
      <c r="Q163" s="5">
        <v>28.884</v>
      </c>
      <c r="R163" s="5">
        <v>0.13700000000000001</v>
      </c>
    </row>
    <row r="164" spans="1:40">
      <c r="A164" s="5" t="s">
        <v>405</v>
      </c>
      <c r="B164" s="5" t="s">
        <v>409</v>
      </c>
      <c r="C164" s="5" t="s">
        <v>119</v>
      </c>
      <c r="D164" s="5" t="s">
        <v>410</v>
      </c>
      <c r="E164" s="5">
        <v>2019</v>
      </c>
      <c r="F164" s="5">
        <v>209</v>
      </c>
      <c r="G164" s="5">
        <v>788446.6</v>
      </c>
      <c r="H164" s="5">
        <v>722197.4</v>
      </c>
      <c r="I164" s="5">
        <v>2.75E-2</v>
      </c>
      <c r="J164" s="5">
        <v>7.5999999999999998E-2</v>
      </c>
      <c r="K164" s="15">
        <v>0.03</v>
      </c>
      <c r="L164" s="5">
        <v>73891.09</v>
      </c>
      <c r="M164" s="5">
        <v>1094</v>
      </c>
      <c r="N164" s="7">
        <v>178</v>
      </c>
      <c r="O164" s="5">
        <v>1044</v>
      </c>
      <c r="P164" s="5">
        <v>67.542000000000002</v>
      </c>
      <c r="Q164" s="5">
        <v>35.868000000000002</v>
      </c>
      <c r="R164" s="5">
        <v>0.22600000000000001</v>
      </c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>
        <v>7.0000000000000007E-2</v>
      </c>
      <c r="AM164" s="5">
        <v>2176</v>
      </c>
      <c r="AN164" s="5">
        <v>2</v>
      </c>
    </row>
    <row r="165" spans="1:40">
      <c r="A165" s="5" t="s">
        <v>405</v>
      </c>
      <c r="B165" s="5" t="s">
        <v>409</v>
      </c>
      <c r="C165" s="5" t="s">
        <v>119</v>
      </c>
      <c r="D165" s="5" t="s">
        <v>411</v>
      </c>
      <c r="E165">
        <v>2020</v>
      </c>
      <c r="F165" s="5">
        <v>209</v>
      </c>
      <c r="G165" s="5">
        <v>813745.9</v>
      </c>
      <c r="H165" s="5">
        <v>766121.9</v>
      </c>
      <c r="I165" s="5">
        <v>2.75E-2</v>
      </c>
      <c r="J165" s="15">
        <v>7.0000000000000007E-2</v>
      </c>
      <c r="K165" s="15">
        <v>0.03</v>
      </c>
      <c r="L165" s="5">
        <v>75880.11</v>
      </c>
      <c r="M165" s="5">
        <v>1116</v>
      </c>
      <c r="N165" s="5">
        <v>2552</v>
      </c>
      <c r="O165" s="5">
        <v>1060</v>
      </c>
      <c r="P165" s="5">
        <v>67.992999999999995</v>
      </c>
      <c r="Q165" s="5">
        <v>37.198</v>
      </c>
      <c r="R165" s="5">
        <v>0.20899999999999999</v>
      </c>
    </row>
    <row r="166" spans="1:40">
      <c r="A166" t="s">
        <v>405</v>
      </c>
      <c r="B166" s="5" t="s">
        <v>409</v>
      </c>
      <c r="C166" t="s">
        <v>119</v>
      </c>
      <c r="D166" t="s">
        <v>412</v>
      </c>
      <c r="E166">
        <v>2018</v>
      </c>
      <c r="F166" s="5">
        <v>65</v>
      </c>
      <c r="G166" s="5">
        <v>762085</v>
      </c>
      <c r="H166" s="5">
        <v>690969</v>
      </c>
      <c r="I166" s="5">
        <v>2.75E-2</v>
      </c>
      <c r="J166" s="8"/>
      <c r="K166" s="8"/>
      <c r="L166" s="5">
        <v>72017</v>
      </c>
      <c r="M166" s="5">
        <v>1067</v>
      </c>
      <c r="N166" s="5">
        <v>39</v>
      </c>
      <c r="O166" s="5">
        <v>1015</v>
      </c>
      <c r="P166" s="8"/>
      <c r="Q166" s="8"/>
      <c r="R166" s="5">
        <v>0.219</v>
      </c>
      <c r="AH166" s="5">
        <v>0.217</v>
      </c>
    </row>
    <row r="167" spans="1:40">
      <c r="A167" t="s">
        <v>413</v>
      </c>
      <c r="B167" s="5" t="s">
        <v>414</v>
      </c>
      <c r="C167" t="s">
        <v>97</v>
      </c>
      <c r="D167" t="s">
        <v>415</v>
      </c>
      <c r="E167">
        <v>2018</v>
      </c>
      <c r="F167" s="5">
        <v>66</v>
      </c>
      <c r="G167" s="5">
        <v>145184.20000000001</v>
      </c>
      <c r="H167" s="5">
        <v>78196.710000000006</v>
      </c>
      <c r="I167" s="8"/>
      <c r="J167" s="8"/>
      <c r="K167" s="8"/>
      <c r="L167" s="5">
        <v>3189.9009999999998</v>
      </c>
      <c r="M167" s="5">
        <v>41</v>
      </c>
      <c r="N167" s="5">
        <v>0</v>
      </c>
      <c r="O167" s="5">
        <v>479</v>
      </c>
      <c r="P167" s="8"/>
      <c r="Q167" s="8"/>
      <c r="R167" s="8"/>
      <c r="AH167" s="5"/>
    </row>
  </sheetData>
  <autoFilter ref="A1:AN143" xr:uid="{E355E07D-3C7D-44B7-9395-F631F6FEA230}">
    <sortState xmlns:xlrd2="http://schemas.microsoft.com/office/spreadsheetml/2017/richdata2" ref="A2:AN167">
      <sortCondition ref="B1:B143"/>
    </sortState>
  </autoFilter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0191-251F-467A-A47A-A1F0302B36F2}">
  <dimension ref="A1:AI27"/>
  <sheetViews>
    <sheetView topLeftCell="S1" zoomScale="140" zoomScaleNormal="140" workbookViewId="0">
      <selection activeCell="AI1" sqref="AI1"/>
    </sheetView>
  </sheetViews>
  <sheetFormatPr defaultRowHeight="15"/>
  <cols>
    <col min="3" max="3" width="5" customWidth="1"/>
    <col min="4" max="4" width="10" customWidth="1"/>
    <col min="5" max="5" width="6.28515625" customWidth="1"/>
    <col min="6" max="6" width="15.140625" customWidth="1"/>
    <col min="7" max="7" width="14.5703125" customWidth="1"/>
    <col min="8" max="8" width="11" bestFit="1" customWidth="1"/>
    <col min="10" max="10" width="12.5703125" customWidth="1"/>
    <col min="28" max="28" width="14.28515625" customWidth="1"/>
    <col min="29" max="29" width="10.42578125" bestFit="1" customWidth="1"/>
  </cols>
  <sheetData>
    <row r="1" spans="1:3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</row>
    <row r="2" spans="1:35">
      <c r="A2" t="s">
        <v>32</v>
      </c>
      <c r="B2" s="5" t="s">
        <v>136</v>
      </c>
      <c r="C2" t="s">
        <v>91</v>
      </c>
      <c r="D2" t="s">
        <v>416</v>
      </c>
      <c r="E2">
        <v>2020</v>
      </c>
      <c r="F2" s="1">
        <v>3548735.2209999999</v>
      </c>
      <c r="G2" s="1">
        <v>3312807.3769999999</v>
      </c>
      <c r="H2" s="3">
        <v>0.08</v>
      </c>
      <c r="I2" s="3">
        <v>3.8699999999999998E-2</v>
      </c>
      <c r="J2" s="2">
        <v>662803.76</v>
      </c>
      <c r="K2">
        <v>12055</v>
      </c>
      <c r="L2" s="3"/>
      <c r="M2">
        <v>9459</v>
      </c>
      <c r="N2" s="4">
        <v>54982</v>
      </c>
      <c r="O2">
        <f t="shared" ref="O2" si="0">172532645/9459</f>
        <v>18240.05127391902</v>
      </c>
      <c r="P2">
        <v>0.12132</v>
      </c>
      <c r="Q2">
        <v>0.481547</v>
      </c>
      <c r="R2">
        <v>65.680000000000007</v>
      </c>
      <c r="S2">
        <v>0.85</v>
      </c>
      <c r="U2" s="3"/>
      <c r="V2" s="3"/>
      <c r="W2" s="3"/>
      <c r="X2" s="3"/>
      <c r="Y2" s="3"/>
      <c r="Z2" s="3"/>
      <c r="AA2" s="3"/>
      <c r="AB2">
        <v>2017277972</v>
      </c>
      <c r="AD2" s="3"/>
      <c r="AE2">
        <v>2.5000000000000001E-2</v>
      </c>
      <c r="AF2">
        <v>8.7290000000000006E-2</v>
      </c>
      <c r="AG2" s="3"/>
      <c r="AH2" s="3"/>
      <c r="AI2" s="3"/>
    </row>
    <row r="3" spans="1:35">
      <c r="A3" t="s">
        <v>14</v>
      </c>
      <c r="B3" s="5" t="s">
        <v>102</v>
      </c>
      <c r="C3" t="s">
        <v>91</v>
      </c>
      <c r="D3" t="s">
        <v>103</v>
      </c>
      <c r="E3">
        <v>2019</v>
      </c>
      <c r="F3">
        <v>11822396011</v>
      </c>
      <c r="G3" s="1">
        <v>7476797905</v>
      </c>
      <c r="H3">
        <v>7.1499999999999994E-2</v>
      </c>
      <c r="I3">
        <v>3.2500000000000001E-2</v>
      </c>
      <c r="J3">
        <v>1646906229</v>
      </c>
      <c r="K3">
        <v>20856</v>
      </c>
      <c r="L3">
        <v>12678</v>
      </c>
      <c r="M3">
        <v>14559</v>
      </c>
      <c r="N3">
        <v>78966</v>
      </c>
      <c r="O3">
        <f>12*3819</f>
        <v>45828</v>
      </c>
      <c r="P3">
        <v>8.5000000000000006E-2</v>
      </c>
      <c r="Q3" t="s">
        <v>104</v>
      </c>
      <c r="R3">
        <v>66.540000000000006</v>
      </c>
      <c r="S3">
        <v>0.75</v>
      </c>
      <c r="T3">
        <v>0.04</v>
      </c>
      <c r="W3">
        <v>0.03</v>
      </c>
      <c r="X3">
        <v>0.03</v>
      </c>
      <c r="Y3">
        <v>0.03</v>
      </c>
      <c r="Z3">
        <v>0.03</v>
      </c>
      <c r="AA3">
        <v>0.03</v>
      </c>
      <c r="AB3">
        <v>6423076283</v>
      </c>
      <c r="AC3">
        <v>195840315</v>
      </c>
      <c r="AE3">
        <v>0.02</v>
      </c>
    </row>
    <row r="4" spans="1:35">
      <c r="D4" t="s">
        <v>417</v>
      </c>
      <c r="E4">
        <v>2019</v>
      </c>
      <c r="G4" s="1"/>
      <c r="H4">
        <v>7.1499999999999994E-2</v>
      </c>
      <c r="I4">
        <v>3.2500000000000001E-2</v>
      </c>
      <c r="L4">
        <v>98110</v>
      </c>
      <c r="P4">
        <v>8.5000000000000006E-2</v>
      </c>
      <c r="S4">
        <v>0.75</v>
      </c>
      <c r="T4">
        <v>0.04</v>
      </c>
      <c r="W4">
        <v>0.03</v>
      </c>
      <c r="X4">
        <v>0.03</v>
      </c>
      <c r="Y4">
        <v>0.03</v>
      </c>
      <c r="Z4">
        <v>0.03</v>
      </c>
      <c r="AA4">
        <v>0.03</v>
      </c>
      <c r="AB4">
        <v>92034520.5</v>
      </c>
      <c r="AC4">
        <v>5035628.2980000004</v>
      </c>
      <c r="AE4">
        <v>0.02</v>
      </c>
    </row>
    <row r="5" spans="1:35">
      <c r="D5" t="s">
        <v>418</v>
      </c>
      <c r="E5">
        <v>2019</v>
      </c>
      <c r="F5" s="1">
        <v>4277278734</v>
      </c>
      <c r="G5">
        <v>1772897935</v>
      </c>
      <c r="H5">
        <v>7.1499999999999994E-2</v>
      </c>
      <c r="I5">
        <v>3.2500000000000001E-2</v>
      </c>
      <c r="J5">
        <v>583380</v>
      </c>
      <c r="K5">
        <v>6147</v>
      </c>
      <c r="L5">
        <v>2624</v>
      </c>
      <c r="M5">
        <v>4349</v>
      </c>
      <c r="N5">
        <v>94905</v>
      </c>
      <c r="O5">
        <f>12*4689</f>
        <v>56268</v>
      </c>
      <c r="P5">
        <v>8.9399999999999993E-2</v>
      </c>
      <c r="S5">
        <v>0.75</v>
      </c>
      <c r="T5">
        <v>0.04</v>
      </c>
      <c r="W5">
        <v>0.03</v>
      </c>
      <c r="X5">
        <v>0.03</v>
      </c>
      <c r="Y5">
        <v>0.03</v>
      </c>
      <c r="Z5">
        <v>0.03</v>
      </c>
      <c r="AA5">
        <v>0.03</v>
      </c>
      <c r="AB5">
        <v>2595693503</v>
      </c>
      <c r="AC5">
        <v>72340548</v>
      </c>
      <c r="AE5">
        <v>0.02</v>
      </c>
    </row>
    <row r="6" spans="1:35">
      <c r="A6" t="s">
        <v>16</v>
      </c>
      <c r="B6" s="5" t="s">
        <v>105</v>
      </c>
      <c r="C6" t="s">
        <v>94</v>
      </c>
      <c r="F6" s="1"/>
    </row>
    <row r="7" spans="1:35">
      <c r="A7" t="s">
        <v>18</v>
      </c>
      <c r="B7" s="5" t="s">
        <v>109</v>
      </c>
      <c r="C7" t="s">
        <v>91</v>
      </c>
      <c r="D7" t="s">
        <v>419</v>
      </c>
      <c r="F7" s="1"/>
    </row>
    <row r="8" spans="1:35">
      <c r="A8" t="s">
        <v>18</v>
      </c>
      <c r="B8" s="5" t="s">
        <v>107</v>
      </c>
      <c r="C8" t="s">
        <v>94</v>
      </c>
      <c r="D8" t="s">
        <v>420</v>
      </c>
      <c r="F8" s="1"/>
    </row>
    <row r="9" spans="1:35">
      <c r="A9" t="s">
        <v>18</v>
      </c>
      <c r="B9" s="5" t="s">
        <v>111</v>
      </c>
      <c r="C9" t="s">
        <v>97</v>
      </c>
      <c r="D9" t="s">
        <v>421</v>
      </c>
      <c r="F9" s="1"/>
    </row>
    <row r="10" spans="1:35">
      <c r="A10" t="s">
        <v>20</v>
      </c>
      <c r="B10" s="5" t="s">
        <v>116</v>
      </c>
      <c r="C10" t="s">
        <v>91</v>
      </c>
      <c r="D10" t="s">
        <v>422</v>
      </c>
    </row>
    <row r="11" spans="1:35">
      <c r="A11" t="s">
        <v>20</v>
      </c>
      <c r="B11" s="5" t="s">
        <v>118</v>
      </c>
      <c r="C11" t="s">
        <v>119</v>
      </c>
      <c r="D11" t="s">
        <v>423</v>
      </c>
    </row>
    <row r="12" spans="1:35">
      <c r="A12" t="s">
        <v>22</v>
      </c>
      <c r="B12" s="5" t="s">
        <v>121</v>
      </c>
      <c r="C12" t="s">
        <v>91</v>
      </c>
      <c r="D12" t="s">
        <v>424</v>
      </c>
    </row>
    <row r="13" spans="1:35">
      <c r="A13" t="s">
        <v>42</v>
      </c>
      <c r="B13" s="5" t="s">
        <v>157</v>
      </c>
      <c r="C13" t="s">
        <v>91</v>
      </c>
      <c r="D13" t="s">
        <v>425</v>
      </c>
    </row>
    <row r="14" spans="1:35">
      <c r="A14" t="s">
        <v>36</v>
      </c>
      <c r="B14" s="5" t="s">
        <v>149</v>
      </c>
      <c r="C14" t="s">
        <v>91</v>
      </c>
    </row>
    <row r="15" spans="1:35">
      <c r="A15" t="s">
        <v>40</v>
      </c>
      <c r="B15" s="5" t="s">
        <v>153</v>
      </c>
      <c r="C15" t="s">
        <v>91</v>
      </c>
    </row>
    <row r="16" spans="1:35">
      <c r="A16" t="s">
        <v>44</v>
      </c>
      <c r="B16" s="5" t="s">
        <v>155</v>
      </c>
      <c r="C16" t="s">
        <v>91</v>
      </c>
    </row>
    <row r="17" spans="1:3">
      <c r="A17" t="s">
        <v>30</v>
      </c>
      <c r="B17" s="5" t="s">
        <v>129</v>
      </c>
      <c r="C17" t="s">
        <v>91</v>
      </c>
    </row>
    <row r="18" spans="1:3">
      <c r="A18" t="s">
        <v>30</v>
      </c>
      <c r="B18" s="5" t="s">
        <v>131</v>
      </c>
      <c r="C18" t="s">
        <v>119</v>
      </c>
    </row>
    <row r="19" spans="1:3">
      <c r="A19" t="s">
        <v>30</v>
      </c>
      <c r="B19" s="5" t="s">
        <v>133</v>
      </c>
      <c r="C19" t="s">
        <v>134</v>
      </c>
    </row>
    <row r="20" spans="1:3">
      <c r="A20" t="s">
        <v>26</v>
      </c>
      <c r="B20" s="5" t="s">
        <v>125</v>
      </c>
      <c r="C20" t="s">
        <v>91</v>
      </c>
    </row>
    <row r="21" spans="1:3">
      <c r="A21" t="s">
        <v>26</v>
      </c>
      <c r="B21" s="5" t="s">
        <v>275</v>
      </c>
      <c r="C21" t="s">
        <v>94</v>
      </c>
    </row>
    <row r="22" spans="1:3">
      <c r="A22" t="s">
        <v>26</v>
      </c>
      <c r="B22" s="5" t="s">
        <v>127</v>
      </c>
      <c r="C22" t="s">
        <v>97</v>
      </c>
    </row>
    <row r="23" spans="1:3">
      <c r="A23" t="s">
        <v>38</v>
      </c>
      <c r="B23" s="5" t="s">
        <v>151</v>
      </c>
      <c r="C23" t="s">
        <v>91</v>
      </c>
    </row>
    <row r="24" spans="1:3">
      <c r="A24" t="s">
        <v>12</v>
      </c>
      <c r="B24" s="5" t="s">
        <v>99</v>
      </c>
      <c r="C24" t="s">
        <v>91</v>
      </c>
    </row>
    <row r="25" spans="1:3">
      <c r="A25" t="s">
        <v>8</v>
      </c>
      <c r="B25" t="s">
        <v>90</v>
      </c>
      <c r="C25" t="s">
        <v>91</v>
      </c>
    </row>
    <row r="26" spans="1:3">
      <c r="A26" t="s">
        <v>8</v>
      </c>
      <c r="B26" t="s">
        <v>93</v>
      </c>
      <c r="C26" t="s">
        <v>94</v>
      </c>
    </row>
    <row r="27" spans="1:3">
      <c r="A27" t="s">
        <v>8</v>
      </c>
      <c r="B27" t="s">
        <v>96</v>
      </c>
      <c r="C27" t="s">
        <v>97</v>
      </c>
    </row>
  </sheetData>
  <pageMargins left="0.7" right="0.7" top="0.75" bottom="0.75" header="0.3" footer="0.3"/>
  <pageSetup orientation="portrait" horizontalDpi="1200" verticalDpi="120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b42d96-50ee-4759-abeb-2e5d6ee85cfc">
      <Terms xmlns="http://schemas.microsoft.com/office/infopath/2007/PartnerControls"/>
    </lcf76f155ced4ddcb4097134ff3c332f>
    <TaxCatchAll xmlns="45779287-706c-4b9a-b5f1-0341e017a4da" xsi:nil="true"/>
    <ModifiedTime xmlns="24b42d96-50ee-4759-abeb-2e5d6ee85cf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961E80EAE4E74DB3D60368050CD89D" ma:contentTypeVersion="19" ma:contentTypeDescription="Create a new document." ma:contentTypeScope="" ma:versionID="e26b3d9379f42a9935d3a502b96bdafd">
  <xsd:schema xmlns:xsd="http://www.w3.org/2001/XMLSchema" xmlns:xs="http://www.w3.org/2001/XMLSchema" xmlns:p="http://schemas.microsoft.com/office/2006/metadata/properties" xmlns:ns2="24b42d96-50ee-4759-abeb-2e5d6ee85cfc" xmlns:ns3="45779287-706c-4b9a-b5f1-0341e017a4da" targetNamespace="http://schemas.microsoft.com/office/2006/metadata/properties" ma:root="true" ma:fieldsID="d0cdcef86a00d891bef714b99d7671bb" ns2:_="" ns3:_="">
    <xsd:import namespace="24b42d96-50ee-4759-abeb-2e5d6ee85cfc"/>
    <xsd:import namespace="45779287-706c-4b9a-b5f1-0341e017a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odifie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42d96-50ee-4759-abeb-2e5d6ee85c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3350ec4-10e3-4b5d-9666-7d76f34ba4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odifiedTime" ma:index="26" nillable="true" ma:displayName="Modified Time" ma:format="DateTime" ma:internalName="Modifie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79287-706c-4b9a-b5f1-0341e017a4d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3a12389-6ccb-4fe9-a0e7-3ab8f098f920}" ma:internalName="TaxCatchAll" ma:showField="CatchAllData" ma:web="45779287-706c-4b9a-b5f1-0341e017a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AF376F-B19C-4D8A-9CBF-26FC7DB31ED0}"/>
</file>

<file path=customXml/itemProps2.xml><?xml version="1.0" encoding="utf-8"?>
<ds:datastoreItem xmlns:ds="http://schemas.openxmlformats.org/officeDocument/2006/customXml" ds:itemID="{2F46F2E2-7A31-414D-9A4F-2307D5E7E41C}"/>
</file>

<file path=customXml/itemProps3.xml><?xml version="1.0" encoding="utf-8"?>
<ds:datastoreItem xmlns:ds="http://schemas.openxmlformats.org/officeDocument/2006/customXml" ds:itemID="{B1613A79-14B8-4651-99E6-A5F57300DF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Alexander Gant</dc:creator>
  <cp:keywords/>
  <dc:description/>
  <cp:lastModifiedBy>May Luo</cp:lastModifiedBy>
  <cp:revision/>
  <dcterms:created xsi:type="dcterms:W3CDTF">2021-09-24T19:53:15Z</dcterms:created>
  <dcterms:modified xsi:type="dcterms:W3CDTF">2024-03-07T20:44:37Z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0x01010072961E80EAE4E74DB3D60368050CD89D</vt:lpwstr>
  </property>
  <property fmtid="{D5CDD505-2E9C-101B-9397-08002B2CF9AE}" pid="3" name="MediaServiceImageTags">
    <vt:lpwstr/>
  </property>
</Properties>
</file>