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.sharepoint.com/sites/MITGCFP/Shared Documents/Research and Education/Projects/State and Local Pension/"/>
    </mc:Choice>
  </mc:AlternateContent>
  <xr:revisionPtr revIDLastSave="239" documentId="8_{6D57F89F-0DC3-42E7-A23B-03A844090CFE}" xr6:coauthVersionLast="47" xr6:coauthVersionMax="47" xr10:uidLastSave="{81110155-BE1C-4335-8947-EB4DB12DB054}"/>
  <bookViews>
    <workbookView xWindow="-120" yWindow="-120" windowWidth="29040" windowHeight="15990" xr2:uid="{00000000-000D-0000-FFFF-FFFF00000000}"/>
  </bookViews>
  <sheets>
    <sheet name="pproject-overview_AG" sheetId="7" r:id="rId1"/>
    <sheet name="Plan Overviews" sheetId="1" r:id="rId2"/>
    <sheet name="Variable Sources" sheetId="6" r:id="rId3"/>
    <sheet name="pproject-overview_AG(work_arch)" sheetId="5" r:id="rId4"/>
  </sheets>
  <definedNames>
    <definedName name="_xlnm._FilterDatabase" localSheetId="1" hidden="1">'Plan Overviews'!$A$1:$AJ$37</definedName>
    <definedName name="_xlnm._FilterDatabase" localSheetId="3" hidden="1">'pproject-overview_AG(work_arch)'!$A$1:$AM$236</definedName>
    <definedName name="_xlnm._FilterDatabase" localSheetId="0" hidden="1">'pproject-overview_AG'!$A$1:$BG$236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6" i="7" l="1"/>
  <c r="N74" i="7"/>
  <c r="N74" i="5"/>
  <c r="N7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Gant</author>
    <author>tc={F8143B78-92A2-450F-A6AB-2777D5F4C5FF}</author>
    <author>tc={04192FD4-CEBD-4585-B38D-86D552CCF828}</author>
    <author>tc={AC2F6B84-C631-4298-BEE5-EB003508C9EF}</author>
    <author>tc={BED81061-3961-4DCB-83D7-32688EAFAB46}</author>
    <author>tc={31F64716-0328-497C-9497-B5CAB72EDB0D}</author>
    <author>tc={894C9698-89A8-44AC-801B-FAB57EE359F8}</author>
    <author>tc={7026D484-3CAA-4D1B-AE02-646B3F9223D2}</author>
    <author>tc={998FFA77-1ED1-42C4-992B-DA40D66F252F}</author>
    <author>tc={63DFF2C8-1F5D-4BEF-9E24-4972B307FEFD}</author>
    <author>tc={A0FDC269-8C70-48C9-8FA2-A2D03D765C21}</author>
    <author>tc={3AB8E3C4-3FFE-4C6F-8C34-0F8377E3DCAC}</author>
    <author>tc={1B463CB3-3609-4190-A2B7-9A32196E2339}</author>
    <author>tc={13D32150-585E-4CC4-B312-A1858188869F}</author>
    <author>tc={91BDCD43-85E8-4503-BFF9-FBFA9B34B564}</author>
    <author>tc={3B96208F-CB56-4C33-9422-93FF550276EC}</author>
    <author>tc={FF0E7BEB-B2C8-4451-9A24-AB89893DD602}</author>
    <author>tc={ABB5F725-8F24-47E6-8FB0-CBBF626D9095}</author>
    <author>tc={1B3BEE3A-A9DD-46BA-BCDF-7EF280AADBD6}</author>
    <author>tc={3E377771-CEAE-423C-8F06-3AF1AF1F050F}</author>
    <author>tc={AD632420-B378-4C28-A8BC-45DD151AA9DE}</author>
    <author>tc={E8A2CAE8-A0B6-4978-BD2F-451D4CC6A1BB}</author>
    <author>tc={E5FC9D9F-624E-4954-8A5C-4C4E2D6DC0E6}</author>
  </authors>
  <commentList>
    <comment ref="J2" authorId="0" shapeId="0" xr:uid="{85587DB4-34ED-4FCE-8F15-8ADB65EEBD97}">
      <text>
        <r>
          <rPr>
            <b/>
            <sz val="9"/>
            <color indexed="81"/>
            <rFont val="Tahoma"/>
            <charset val="1"/>
          </rPr>
          <t>Alex Gant:</t>
        </r>
        <r>
          <rPr>
            <sz val="9"/>
            <color indexed="81"/>
            <rFont val="Tahoma"/>
            <charset val="1"/>
          </rPr>
          <t xml:space="preserve">
Blended discount rate
</t>
        </r>
      </text>
    </comment>
    <comment ref="S5" authorId="0" shapeId="0" xr:uid="{187AA470-CC75-4CBB-8A2F-AD0748A6CDEA}">
      <text>
        <r>
          <rPr>
            <sz val="11"/>
            <color theme="1"/>
            <rFont val="Calibri"/>
            <family val="2"/>
            <scheme val="minor"/>
          </rPr>
          <t>Alex Gant:
https://www.zippia.com/city-of-atlanta-ga-careers-309945/</t>
        </r>
      </text>
    </comment>
    <comment ref="S16" authorId="1" shapeId="0" xr:uid="{F8143B78-92A2-450F-A6AB-2777D5F4C5F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https://www.austintexas.gov/edims/document.cfm?id=365819</t>
      </text>
    </comment>
    <comment ref="S17" authorId="0" shapeId="0" xr:uid="{40CBB760-7F3A-483A-BD96-937F901DED87}">
      <text>
        <r>
          <rPr>
            <sz val="11"/>
            <color theme="1"/>
            <rFont val="Calibri"/>
            <family val="2"/>
            <scheme val="minor"/>
          </rPr>
          <t>Alex Gant:
https://www.austintexas.gov/edims/document.cfm?id=365819</t>
        </r>
      </text>
    </comment>
    <comment ref="S19" authorId="2" shapeId="0" xr:uid="{04192FD4-CEBD-4585-B38D-86D552CCF82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https://www.zippia.com/city-of-baltimore-careers-778906/#</t>
      </text>
    </comment>
    <comment ref="S20" authorId="0" shapeId="0" xr:uid="{74976299-02F2-4A0D-8602-7C5DB2B4F3C8}">
      <text>
        <r>
          <rPr>
            <sz val="11"/>
            <color theme="1"/>
            <rFont val="Calibri"/>
            <family val="2"/>
            <scheme val="minor"/>
          </rPr>
          <t>Alex Gant:
https://www.zippia.com/city-of-baltimore-careers-778906/#</t>
        </r>
      </text>
    </comment>
    <comment ref="S22" authorId="3" shapeId="0" xr:uid="{AC2F6B84-C631-4298-BEE5-EB003508C9E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https://www.zippia.com/city-of-baltimore-careers-778906/#</t>
      </text>
    </comment>
    <comment ref="S23" authorId="0" shapeId="0" xr:uid="{7F04FB02-125E-48BC-96ED-6C5659192EBF}">
      <text>
        <r>
          <rPr>
            <sz val="11"/>
            <color theme="1"/>
            <rFont val="Calibri"/>
            <family val="2"/>
            <scheme val="minor"/>
          </rPr>
          <t>Alex Gant:
https://www.zippia.com/city-of-baltimore-careers-778906/#</t>
        </r>
      </text>
    </comment>
    <comment ref="S34" authorId="4" shapeId="0" xr:uid="{BED81061-3961-4DCB-83D7-32688EAFAB4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https://www.boston.gov/departments/diversity/city-boston-employee-demographics-dashboard</t>
      </text>
    </comment>
    <comment ref="S52" authorId="0" shapeId="0" xr:uid="{FFF50CEF-451C-49F2-B67B-53FCCAA685ED}">
      <text>
        <r>
          <rPr>
            <sz val="11"/>
            <color theme="1"/>
            <rFont val="Calibri"/>
            <family val="2"/>
            <scheme val="minor"/>
          </rPr>
          <t>Alex Gant:
https://www.zippia.com/city-of-baltimore-careers-778906/#</t>
        </r>
      </text>
    </comment>
    <comment ref="S56" authorId="5" shapeId="0" xr:uid="{31F64716-0328-497C-9497-B5CAB72EDB0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https://informationportal.igchicago.org/city-of-chicago-active-employees-demographic/</t>
      </text>
    </comment>
    <comment ref="S62" authorId="0" shapeId="0" xr:uid="{9670D40F-1514-422E-9985-A09F4810318A}">
      <text>
        <r>
          <rPr>
            <sz val="11"/>
            <color theme="1"/>
            <rFont val="Calibri"/>
            <family val="2"/>
            <scheme val="minor"/>
          </rPr>
          <t>Alex Gant:
https://dallascitydata.dallascityhall.com/views/HRDiversityDashboard/HRDiversityDashboard?:iid=1&amp;:isGuestRedirectFromVizportal=y&amp;:embed=y</t>
        </r>
      </text>
    </comment>
    <comment ref="S63" authorId="0" shapeId="0" xr:uid="{202F9C99-34B6-4805-A3E4-5D6C86644210}">
      <text>
        <r>
          <rPr>
            <sz val="11"/>
            <color theme="1"/>
            <rFont val="Calibri"/>
            <family val="2"/>
            <scheme val="minor"/>
          </rPr>
          <t>Alex Gant:
https://dallascitydata.dallascityhall.com/views/HRDiversityDashboard/HRDiversityDashboard?:iid=1&amp;:isGuestRedirectFromVizportal=y&amp;:embed=y</t>
        </r>
      </text>
    </comment>
    <comment ref="S64" authorId="0" shapeId="0" xr:uid="{7E043404-6DA7-4607-BC72-00912A3BD1A6}">
      <text>
        <r>
          <rPr>
            <sz val="11"/>
            <color theme="1"/>
            <rFont val="Calibri"/>
            <family val="2"/>
            <scheme val="minor"/>
          </rPr>
          <t>Alex Gant:
https://dallascitydata.dallascityhall.com/views/HRDiversityDashboard/HRDiversityDashboard?:iid=1&amp;:isGuestRedirectFromVizportal=y&amp;:embed=y</t>
        </r>
      </text>
    </comment>
    <comment ref="S65" authorId="0" shapeId="0" xr:uid="{8DF89D29-5666-470C-A038-A2667FB44F0C}">
      <text>
        <r>
          <rPr>
            <sz val="11"/>
            <color theme="1"/>
            <rFont val="Calibri"/>
            <family val="2"/>
            <scheme val="minor"/>
          </rPr>
          <t>Alex Gant:
PCTMALE (POL) - .81
PCTMALE (FF) - .964
TOTACTIVE (POL) - 4196
TOTACTIVE (FF) - 1942
https://www.dallasnews.com/news/2015/11/29/female-firefighters-are-few-far-between-in-d-fw-station-houses/
https://www.dol.gov/sites/dolgov/files/OASP/legacy/files/FirstResponders_DPDCase_Study.pdf
https://dfw.cbslocal.com/2018/12/28/dallas-promotes-new-fire-chief/
https://dallaspolice.net/abouts/dpdhistory</t>
        </r>
      </text>
    </comment>
    <comment ref="S66" authorId="0" shapeId="0" xr:uid="{BDBBD883-93F0-4886-9E10-2DCABE7B9C9A}">
      <text>
        <r>
          <rPr>
            <sz val="11"/>
            <color theme="1"/>
            <rFont val="Calibri"/>
            <family val="2"/>
            <scheme val="minor"/>
          </rPr>
          <t>Alex Gant:
PCTMALE (POL) - .81
PCTMALE (FF) - .964
TOTACTIVE (POL) - 4196
TOTACTIVE (FF) - 1942
https://www.dallasnews.com/news/2015/11/29/female-firefighters-are-few-far-between-in-d-fw-station-houses/
https://www.dol.gov/sites/dolgov/files/OASP/legacy/files/FirstResponders_DPDCase_Study.pdf
https://dfw.cbslocal.com/2018/12/28/dallas-promotes-new-fire-chief/
https://dallaspolice.net/abouts/dpdhistory</t>
        </r>
      </text>
    </comment>
    <comment ref="S67" authorId="0" shapeId="0" xr:uid="{247C57F7-1DCD-46C7-B1D3-332BF0A7C054}">
      <text>
        <r>
          <rPr>
            <sz val="11"/>
            <color theme="1"/>
            <rFont val="Calibri"/>
            <family val="2"/>
            <scheme val="minor"/>
          </rPr>
          <t>Alex Gant:
PCTMALE (POL) - .81
PCTMALE (FF) - .964
TOTACTIVE (POL) - 4196
TOTACTIVE (FF) - 1942
https://www.dallasnews.com/news/2015/11/29/female-firefighters-are-few-far-between-in-d-fw-station-houses/
https://www.dol.gov/sites/dolgov/files/OASP/legacy/files/FirstResponders_DPDCase_Study.pdf
https://dfw.cbslocal.com/2018/12/28/dallas-promotes-new-fire-chief/
https://dallaspolice.net/abouts/dpdhistory</t>
        </r>
      </text>
    </comment>
    <comment ref="S74" authorId="0" shapeId="0" xr:uid="{8334C226-6326-4EA2-AEDE-E665A5102BC4}">
      <text>
        <r>
          <rPr>
            <sz val="11"/>
            <color theme="1"/>
            <rFont val="Calibri"/>
            <family val="2"/>
            <scheme val="minor"/>
          </rPr>
          <t>Alex Gant:
https://www.zippia.com/city-and-county-of-denver-careers-398337/#</t>
        </r>
      </text>
    </comment>
    <comment ref="S77" authorId="0" shapeId="0" xr:uid="{4F0D5DCD-E3E6-4307-A80C-27F00553F945}">
      <text>
        <r>
          <rPr>
            <sz val="11"/>
            <color theme="1"/>
            <rFont val="Calibri"/>
            <family val="2"/>
            <scheme val="minor"/>
          </rPr>
          <t>Alex Gant:
https://www.zippia.com/denver-public-schools-careers-723137/#</t>
        </r>
      </text>
    </comment>
    <comment ref="S79" authorId="6" shapeId="0" xr:uid="{894C9698-89A8-44AC-801B-FAB57EE359F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https://www.zippia.com/denver-public-schools-careers-723137/#</t>
      </text>
    </comment>
    <comment ref="S110" authorId="0" shapeId="0" xr:uid="{8BFBC4F2-FA5D-47C9-9356-AD91A3B3003A}">
      <text>
        <r>
          <rPr>
            <sz val="11"/>
            <color theme="1"/>
            <rFont val="Calibri"/>
            <family val="2"/>
            <scheme val="minor"/>
          </rPr>
          <t>Alex Gant:
https://www.jaxdailyrecord.com/article/city-employee-diversity-comes-under-scrutiny</t>
        </r>
      </text>
    </comment>
    <comment ref="S120" authorId="0" shapeId="0" xr:uid="{FAD22FAE-23F4-433E-8CF8-BD94EC7CE9F6}">
      <text>
        <r>
          <rPr>
            <sz val="11"/>
            <color theme="1"/>
            <rFont val="Calibri"/>
            <family val="2"/>
            <scheme val="minor"/>
          </rPr>
          <t>Alex Gant:
https://data.kcmo.org/stories/s/ar49-3jbj</t>
        </r>
      </text>
    </comment>
    <comment ref="S121" authorId="0" shapeId="0" xr:uid="{0CF52D4A-9C9B-45C7-8D7F-3552F3F55210}">
      <text>
        <r>
          <rPr>
            <sz val="11"/>
            <color theme="1"/>
            <rFont val="Calibri"/>
            <family val="2"/>
            <scheme val="minor"/>
          </rPr>
          <t>Alex Gant:
https://data.kcmo.org/stories/s/ar49-3jbj</t>
        </r>
      </text>
    </comment>
    <comment ref="S122" authorId="0" shapeId="0" xr:uid="{1372367F-BD4E-45FF-ABAB-0D3BF112BD34}">
      <text>
        <r>
          <rPr>
            <sz val="11"/>
            <color theme="1"/>
            <rFont val="Calibri"/>
            <family val="2"/>
            <scheme val="minor"/>
          </rPr>
          <t>Alex Gant:
https://data.kcmo.org/stories/s/ar49-3jbj</t>
        </r>
      </text>
    </comment>
    <comment ref="S138" authorId="0" shapeId="0" xr:uid="{F51B9C1B-461D-4F42-B6A7-D64577E7222B}">
      <text>
        <r>
          <rPr>
            <sz val="11"/>
            <color theme="1"/>
            <rFont val="Calibri"/>
            <family val="2"/>
            <scheme val="minor"/>
          </rPr>
          <t>Alex Gant:
https://lacontroller.org/audits-and-reports/diversitywithequity/</t>
        </r>
      </text>
    </comment>
    <comment ref="S142" authorId="0" shapeId="0" xr:uid="{C1FF3ACF-8DB7-40BB-8728-F81540A3B663}">
      <text>
        <r>
          <rPr>
            <sz val="11"/>
            <color theme="1"/>
            <rFont val="Calibri"/>
            <family val="2"/>
            <scheme val="minor"/>
          </rPr>
          <t>Alex Gant:
https://experience.arcgis.com/experience/9afc8667af8041d6bcfe14c3d729e172/page/City-Employees-by-Department/</t>
        </r>
      </text>
    </comment>
    <comment ref="S143" authorId="0" shapeId="0" xr:uid="{9CAF3D74-8B2C-4520-8089-6AD48A6B53FB}">
      <text>
        <r>
          <rPr>
            <sz val="11"/>
            <color theme="1"/>
            <rFont val="Calibri"/>
            <family val="2"/>
            <scheme val="minor"/>
          </rPr>
          <t>Alex Gant:
https://experience.arcgis.com/experience/9afc8667af8041d6bcfe14c3d729e172/page/City-Employees-by-Department/</t>
        </r>
      </text>
    </comment>
    <comment ref="S144" authorId="0" shapeId="0" xr:uid="{856A6F78-25E0-437E-AC6F-457812D0D00B}">
      <text>
        <r>
          <rPr>
            <sz val="11"/>
            <color theme="1"/>
            <rFont val="Calibri"/>
            <family val="2"/>
            <scheme val="minor"/>
          </rPr>
          <t>Alex Gant:
https://experience.arcgis.com/experience/9afc8667af8041d6bcfe14c3d729e172/page/City-Employees-by-Department/</t>
        </r>
      </text>
    </comment>
    <comment ref="S156" authorId="7" shapeId="0" xr:uid="{7026D484-3CAA-4D1B-AE02-646B3F9223D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57" authorId="8" shapeId="0" xr:uid="{998FFA77-1ED1-42C4-992B-DA40D66F252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58" authorId="9" shapeId="0" xr:uid="{63DFF2C8-1F5D-4BEF-9E24-4972B307FEF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59" authorId="10" shapeId="0" xr:uid="{A0FDC269-8C70-48C9-8FA2-A2D03D765C2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0" authorId="11" shapeId="0" xr:uid="{3AB8E3C4-3FFE-4C6F-8C34-0F8377E3DCA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1" authorId="12" shapeId="0" xr:uid="{1B463CB3-3609-4190-A2B7-9A32196E233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2" authorId="13" shapeId="0" xr:uid="{13D32150-585E-4CC4-B312-A1858188869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3" authorId="14" shapeId="0" xr:uid="{91BDCD43-85E8-4503-BFF9-FBFA9B34B56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4" authorId="15" shapeId="0" xr:uid="{3B96208F-CB56-4C33-9422-93FF550276E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5" authorId="16" shapeId="0" xr:uid="{FF0E7BEB-B2C8-4451-9A24-AB89893DD60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6" authorId="17" shapeId="0" xr:uid="{ABB5F725-8F24-47E6-8FB0-CBBF626D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7" authorId="18" shapeId="0" xr:uid="{1B3BEE3A-A9DD-46BA-BCDF-7EF280AADBD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8" authorId="19" shapeId="0" xr:uid="{3E377771-CEAE-423C-8F06-3AF1AF1F050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9" authorId="20" shapeId="0" xr:uid="{AD632420-B378-4C28-A8BC-45DD151AA9D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70" authorId="21" shapeId="0" xr:uid="{E8A2CAE8-A0B6-4978-BD2F-451D4CC6A1B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83" authorId="0" shapeId="0" xr:uid="{9F7DDC4E-EFCE-48AA-8FE8-B93F9B48F4B7}">
      <text>
        <r>
          <rPr>
            <sz val="11"/>
            <color theme="1"/>
            <rFont val="Calibri"/>
            <family val="2"/>
            <scheme val="minor"/>
          </rPr>
          <t>Alex Gant:
https://www.phila.gov/media/20211222091429/2021DiversityReport.pdf</t>
        </r>
      </text>
    </comment>
    <comment ref="S184" authorId="0" shapeId="0" xr:uid="{AC1E559A-D74A-4E0F-A633-F415B846FD27}">
      <text>
        <r>
          <rPr>
            <sz val="11"/>
            <color theme="1"/>
            <rFont val="Calibri"/>
            <family val="2"/>
            <scheme val="minor"/>
          </rPr>
          <t>Alex Gant:
https://www.phila.gov/media/20211222091429/2021DiversityReport.pdf</t>
        </r>
      </text>
    </comment>
    <comment ref="S185" authorId="0" shapeId="0" xr:uid="{7ED7875C-908F-4E11-8370-DE5AE55E1E95}">
      <text>
        <r>
          <rPr>
            <sz val="11"/>
            <color theme="1"/>
            <rFont val="Calibri"/>
            <family val="2"/>
            <scheme val="minor"/>
          </rPr>
          <t>Alex Gant:
https://www.phila.gov/media/20211222091429/2021DiversityReport.pdf</t>
        </r>
      </text>
    </comment>
    <comment ref="S186" authorId="0" shapeId="0" xr:uid="{E000F558-0105-44E1-9706-BC02853AC7C9}">
      <text>
        <r>
          <rPr>
            <sz val="11"/>
            <color theme="1"/>
            <rFont val="Calibri"/>
            <family val="2"/>
            <scheme val="minor"/>
          </rPr>
          <t>Alex Gant:
https://www.zippia.com/city-of-phoenix-careers-751540/#</t>
        </r>
      </text>
    </comment>
    <comment ref="S187" authorId="0" shapeId="0" xr:uid="{4197C16C-5C6F-424B-84ED-E4A036BA93E8}">
      <text>
        <r>
          <rPr>
            <sz val="11"/>
            <color theme="1"/>
            <rFont val="Calibri"/>
            <family val="2"/>
            <scheme val="minor"/>
          </rPr>
          <t>Alex Gant:
https://www.zippia.com/city-of-phoenix-careers-751540/#</t>
        </r>
      </text>
    </comment>
    <comment ref="S188" authorId="0" shapeId="0" xr:uid="{88E912F0-DB63-42F8-9FB1-33026F0CF407}">
      <text>
        <r>
          <rPr>
            <sz val="11"/>
            <color theme="1"/>
            <rFont val="Calibri"/>
            <family val="2"/>
            <scheme val="minor"/>
          </rPr>
          <t>Alex Gant:
https://www.zippia.com/city-of-phoenix-careers-751540/#</t>
        </r>
      </text>
    </comment>
    <comment ref="S200" authorId="22" shapeId="0" xr:uid="{E5FC9D9F-624E-4954-8A5C-4C4E2D6DC0E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https://www.sandiego.gov/sites/default/files/19-001_citywide_human_capital_fact_book.pdf</t>
      </text>
    </comment>
    <comment ref="S203" authorId="0" shapeId="0" xr:uid="{C5A1233C-5079-4E0D-BC55-7BC2ACA468E5}">
      <text>
        <r>
          <rPr>
            <sz val="11"/>
            <color theme="1"/>
            <rFont val="Calibri"/>
            <family val="2"/>
            <scheme val="minor"/>
          </rPr>
          <t>Alex Gant:
https://sfdhr.org/gender-and-department</t>
        </r>
      </text>
    </comment>
    <comment ref="S204" authorId="0" shapeId="0" xr:uid="{5F1C9FA2-A48F-4D34-9E33-D1BED2817389}">
      <text>
        <r>
          <rPr>
            <sz val="11"/>
            <color theme="1"/>
            <rFont val="Calibri"/>
            <family val="2"/>
            <scheme val="minor"/>
          </rPr>
          <t>Alex Gant:
https://sfdhr.org/gender-and-department</t>
        </r>
      </text>
    </comment>
    <comment ref="S205" authorId="0" shapeId="0" xr:uid="{9C62A4C0-7FB3-4CD7-BBFF-44233F405DA0}">
      <text>
        <r>
          <rPr>
            <sz val="11"/>
            <color theme="1"/>
            <rFont val="Calibri"/>
            <family val="2"/>
            <scheme val="minor"/>
          </rPr>
          <t>Alex Gant:
https://sfdhr.org/gender-and-department</t>
        </r>
      </text>
    </comment>
    <comment ref="S207" authorId="0" shapeId="0" xr:uid="{1BB8E1A3-3698-4A5E-B668-EF0EBB86A709}">
      <text>
        <r>
          <rPr>
            <sz val="11"/>
            <color theme="1"/>
            <rFont val="Calibri"/>
            <family val="2"/>
            <scheme val="minor"/>
          </rPr>
          <t>Alex Gant:
https://www.seattle.gov/Documents/Departments/CivilRights/Gender-Equity-In-Pay-Task-Force-Report.pdf</t>
        </r>
      </text>
    </comment>
    <comment ref="S208" authorId="0" shapeId="0" xr:uid="{58376A47-8F19-4E2B-B7E5-2B5CB8C16B18}">
      <text>
        <r>
          <rPr>
            <sz val="11"/>
            <color theme="1"/>
            <rFont val="Calibri"/>
            <family val="2"/>
            <scheme val="minor"/>
          </rPr>
          <t>Alex Gant:
https://www.seattle.gov/Documents/Departments/CivilRights/Gender-Equity-In-Pay-Task-Force-Report.pdf</t>
        </r>
      </text>
    </comment>
    <comment ref="S209" authorId="0" shapeId="0" xr:uid="{2613C8B4-C64F-49F8-9408-2745E80B3FFE}">
      <text>
        <r>
          <rPr>
            <sz val="11"/>
            <color theme="1"/>
            <rFont val="Calibri"/>
            <family val="2"/>
            <scheme val="minor"/>
          </rPr>
          <t>Alex Gant:
https://www.seattle.gov/Documents/Departments/CivilRights/Gender-Equity-In-Pay-Task-Force-Report.pdf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Hernandez Barcena</author>
    <author>Alex Gant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NOTE: we updated the assets to 2020 as described in the Word Doc.</t>
        </r>
      </text>
    </comment>
    <comment ref="I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Lorena Hernandez Barcena:</t>
        </r>
        <r>
          <rPr>
            <sz val="9"/>
            <color indexed="81"/>
            <rFont val="Tahoma"/>
            <charset val="1"/>
          </rPr>
          <t xml:space="preserve">
Discount rate that the plan reports using in their actuarial estimates</t>
        </r>
      </text>
    </comment>
    <comment ref="J1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 xml:space="preserve">Lorena Hernandez Barcena:
</t>
        </r>
        <r>
          <rPr>
            <sz val="9"/>
            <color indexed="81"/>
            <rFont val="Tahoma"/>
            <family val="2"/>
          </rPr>
          <t>Plan's wage inflation assumption (inflation + productivity growth)</t>
        </r>
      </text>
    </comment>
    <comment ref="K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in 1000's</t>
        </r>
      </text>
    </comment>
    <comment ref="L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Number currently working</t>
        </r>
      </text>
    </comment>
    <comment ref="M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Withdrawn but not retired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From PPD: Required contribution according to their actuarial estimates</t>
        </r>
      </text>
    </comment>
    <comment ref="S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Average retirement age</t>
        </r>
      </text>
    </comment>
    <comment ref="T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Percent married (used for survivor's benefits)</t>
        </r>
      </text>
    </comment>
    <comment ref="U1" authorId="1" shapeId="0" xr:uid="{C98C69B9-C578-40CB-94A2-F39857E8CA15}">
      <text>
        <r>
          <rPr>
            <b/>
            <sz val="9"/>
            <color indexed="81"/>
            <rFont val="Tahoma"/>
            <charset val="1"/>
          </rPr>
          <t>Alex Gant:</t>
        </r>
        <r>
          <rPr>
            <sz val="9"/>
            <color indexed="81"/>
            <rFont val="Tahoma"/>
            <charset val="1"/>
          </rPr>
          <t xml:space="preserve">
Discount Factor for annuity</t>
        </r>
      </text>
    </comment>
    <comment ref="V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Fraction of benefits owed to survivor</t>
        </r>
      </text>
    </comment>
    <comment ref="W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Penalty per year of early retirement</t>
        </r>
      </text>
    </comment>
    <comment ref="X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Actuarial population growth assumption</t>
        </r>
      </text>
    </comment>
    <comment ref="Y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Population growth 30 year olds
</t>
        </r>
      </text>
    </comment>
    <comment ref="Z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Actuarial growth 40 year olds
</t>
        </r>
      </text>
    </comment>
    <comment ref="AA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National growth rate
</t>
        </r>
      </text>
    </comment>
    <comment ref="AB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State population growth rate</t>
        </r>
      </text>
    </comment>
    <comment ref="AC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Liabilities ONLY for retirees</t>
        </r>
      </text>
    </comment>
    <comment ref="AD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Liabilities ONLY for inactives</t>
        </r>
      </text>
    </comment>
    <comment ref="AE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Present Value Future Benefits</t>
        </r>
      </text>
    </comment>
    <comment ref="AF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i/>
            <sz val="9"/>
            <color indexed="81"/>
            <rFont val="Tahoma"/>
            <family val="2"/>
          </rPr>
          <t>Plan's</t>
        </r>
        <r>
          <rPr>
            <sz val="9"/>
            <color indexed="81"/>
            <rFont val="Tahoma"/>
            <family val="2"/>
          </rPr>
          <t xml:space="preserve"> inflation assumption</t>
        </r>
      </text>
    </comment>
    <comment ref="AG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Normal Cost Rate (total)</t>
        </r>
      </text>
    </comment>
    <comment ref="AH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Our calibration factor for actives (details in paper)</t>
        </r>
      </text>
    </comment>
    <comment ref="AI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Our calibration factor for inactives</t>
        </r>
      </text>
    </comment>
    <comment ref="AJ1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Our calibration factor for retirees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Gant</author>
    <author>tc={23EBBA1A-4475-4E4F-A42C-4E31D835190B}</author>
    <author>tc={52862B36-3208-4E7D-B749-4B770B87469E}</author>
    <author>tc={EE6B4967-EA77-4A4C-8700-D8F05EC69FDA}</author>
    <author>tc={528E11A4-DAFB-4100-AE83-F551E065B0BF}</author>
    <author>tc={1F1A0E27-3DD5-4972-A80B-D29F0061165F}</author>
    <author>tc={8694F5B0-1E52-4284-ABF1-12BC2C8FBF12}</author>
    <author>tc={26DA22D2-B495-428A-BCA9-6514FB1A2AF0}</author>
    <author>tc={85EE3196-E2B2-4C90-99CD-E572ED402D78}</author>
    <author>tc={1F6A6422-8AE4-46BE-985E-020745821DCC}</author>
    <author>tc={CB615FA1-741B-4425-8DD7-25348207A6A4}</author>
    <author>tc={CBC024F4-1A0E-41C9-BF43-BB281EC1BCCB}</author>
    <author>tc={371D8B36-3873-4F84-A786-4D087BCC12B7}</author>
    <author>tc={3AF63824-3BC0-49C9-B686-BB92A7E459EA}</author>
    <author>tc={49E51F1A-716B-4D88-BB7E-C0C9DF158B98}</author>
    <author>tc={D235F1D9-CC31-4D50-92CA-F08D84AA80FC}</author>
    <author>tc={D810FEE4-200D-4A6C-9FB7-6F0317EF46DD}</author>
    <author>tc={F07B9C2E-A733-4267-9093-2E3A8E66C7B4}</author>
    <author>tc={83BE69D5-6AA5-4063-BCC2-63EA5A3D8F5F}</author>
    <author>tc={D01066BD-410D-442A-BBB9-37CF7A1B5BA9}</author>
    <author>tc={B1C95E7E-7B32-4773-BD92-ADAD15BB56CD}</author>
    <author>tc={CB5B01A7-3BD6-4AAE-B31D-5FDB12527C66}</author>
    <author>tc={05A0FF4D-6F66-48B3-8DCC-A9079B719D5C}</author>
  </authors>
  <commentList>
    <comment ref="J2" authorId="0" shapeId="0" xr:uid="{95799CA6-4C55-4D28-9FF4-5674586E68A2}">
      <text>
        <r>
          <rPr>
            <b/>
            <sz val="9"/>
            <color indexed="81"/>
            <rFont val="Tahoma"/>
            <charset val="1"/>
          </rPr>
          <t>Alex Gant:</t>
        </r>
        <r>
          <rPr>
            <sz val="9"/>
            <color indexed="81"/>
            <rFont val="Tahoma"/>
            <charset val="1"/>
          </rPr>
          <t xml:space="preserve">
Blended discount rate
</t>
        </r>
      </text>
    </comment>
    <comment ref="S5" authorId="0" shapeId="0" xr:uid="{E049EB24-5008-4C69-A792-9EF930524816}">
      <text>
        <r>
          <rPr>
            <sz val="11"/>
            <color theme="1"/>
            <rFont val="Calibri"/>
            <family val="2"/>
            <scheme val="minor"/>
          </rPr>
          <t>Alex Gant:
https://www.zippia.com/city-of-atlanta-ga-careers-309945/</t>
        </r>
      </text>
    </comment>
    <comment ref="S16" authorId="1" shapeId="0" xr:uid="{23EBBA1A-4475-4E4F-A42C-4E31D835190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https://www.austintexas.gov/edims/document.cfm?id=365819</t>
      </text>
    </comment>
    <comment ref="S17" authorId="0" shapeId="0" xr:uid="{0AB16DC2-3C47-4E0E-A902-DA8E0F9361E0}">
      <text>
        <r>
          <rPr>
            <sz val="11"/>
            <color theme="1"/>
            <rFont val="Calibri"/>
            <family val="2"/>
            <scheme val="minor"/>
          </rPr>
          <t>Alex Gant:
https://www.austintexas.gov/edims/document.cfm?id=365819</t>
        </r>
      </text>
    </comment>
    <comment ref="S19" authorId="2" shapeId="0" xr:uid="{52862B36-3208-4E7D-B749-4B770B87469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https://www.zippia.com/city-of-baltimore-careers-778906/#</t>
      </text>
    </comment>
    <comment ref="S20" authorId="0" shapeId="0" xr:uid="{53A0153D-AE97-4E83-BF79-7F4D02A64D56}">
      <text>
        <r>
          <rPr>
            <sz val="11"/>
            <color theme="1"/>
            <rFont val="Calibri"/>
            <family val="2"/>
            <scheme val="minor"/>
          </rPr>
          <t>Alex Gant:
https://www.zippia.com/city-of-baltimore-careers-778906/#</t>
        </r>
      </text>
    </comment>
    <comment ref="S22" authorId="3" shapeId="0" xr:uid="{EE6B4967-EA77-4A4C-8700-D8F05EC69FD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https://www.zippia.com/city-of-baltimore-careers-778906/#</t>
      </text>
    </comment>
    <comment ref="S23" authorId="0" shapeId="0" xr:uid="{70EE9051-113B-42BB-AA1D-6E8DE7F252CE}">
      <text>
        <r>
          <rPr>
            <sz val="11"/>
            <color theme="1"/>
            <rFont val="Calibri"/>
            <family val="2"/>
            <scheme val="minor"/>
          </rPr>
          <t>Alex Gant:
https://www.zippia.com/city-of-baltimore-careers-778906/#</t>
        </r>
      </text>
    </comment>
    <comment ref="S34" authorId="4" shapeId="0" xr:uid="{528E11A4-DAFB-4100-AE83-F551E065B0B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https://www.boston.gov/departments/diversity/city-boston-employee-demographics-dashboard</t>
      </text>
    </comment>
    <comment ref="S52" authorId="0" shapeId="0" xr:uid="{1CBBD44F-A985-49A6-9B97-8791FBC50A33}">
      <text>
        <r>
          <rPr>
            <sz val="11"/>
            <color theme="1"/>
            <rFont val="Calibri"/>
            <family val="2"/>
            <scheme val="minor"/>
          </rPr>
          <t>Alex Gant:
https://www.zippia.com/city-of-baltimore-careers-778906/#</t>
        </r>
      </text>
    </comment>
    <comment ref="S56" authorId="5" shapeId="0" xr:uid="{1F1A0E27-3DD5-4972-A80B-D29F0061165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https://informationportal.igchicago.org/city-of-chicago-active-employees-demographic/</t>
      </text>
    </comment>
    <comment ref="S62" authorId="0" shapeId="0" xr:uid="{18BC0B8E-1022-49EF-BD99-CF5E97006502}">
      <text>
        <r>
          <rPr>
            <sz val="11"/>
            <color theme="1"/>
            <rFont val="Calibri"/>
            <family val="2"/>
            <scheme val="minor"/>
          </rPr>
          <t>Alex Gant:
https://dallascitydata.dallascityhall.com/views/HRDiversityDashboard/HRDiversityDashboard?:iid=1&amp;:isGuestRedirectFromVizportal=y&amp;:embed=y</t>
        </r>
      </text>
    </comment>
    <comment ref="S63" authorId="0" shapeId="0" xr:uid="{24DD54B1-23B1-4512-9C6A-46A700B288AD}">
      <text>
        <r>
          <rPr>
            <sz val="11"/>
            <color theme="1"/>
            <rFont val="Calibri"/>
            <family val="2"/>
            <scheme val="minor"/>
          </rPr>
          <t>Alex Gant:
https://dallascitydata.dallascityhall.com/views/HRDiversityDashboard/HRDiversityDashboard?:iid=1&amp;:isGuestRedirectFromVizportal=y&amp;:embed=y</t>
        </r>
      </text>
    </comment>
    <comment ref="S64" authorId="0" shapeId="0" xr:uid="{7E67E9B6-D6AE-4FF9-9095-7C6E64FC878B}">
      <text>
        <r>
          <rPr>
            <sz val="11"/>
            <color theme="1"/>
            <rFont val="Calibri"/>
            <family val="2"/>
            <scheme val="minor"/>
          </rPr>
          <t>Alex Gant:
https://dallascitydata.dallascityhall.com/views/HRDiversityDashboard/HRDiversityDashboard?:iid=1&amp;:isGuestRedirectFromVizportal=y&amp;:embed=y</t>
        </r>
      </text>
    </comment>
    <comment ref="S65" authorId="0" shapeId="0" xr:uid="{B737B9B6-00BC-4332-9537-AAC394A5BFEA}">
      <text>
        <r>
          <rPr>
            <sz val="11"/>
            <color theme="1"/>
            <rFont val="Calibri"/>
            <family val="2"/>
            <scheme val="minor"/>
          </rPr>
          <t>Alex Gant:
PCTMALE (POL) - .81
PCTMALE (FF) - .964
TOTACTIVE (POL) - 4196
TOTACTIVE (FF) - 1942
https://www.dallasnews.com/news/2015/11/29/female-firefighters-are-few-far-between-in-d-fw-station-houses/
https://www.dol.gov/sites/dolgov/files/OASP/legacy/files/FirstResponders_DPDCase_Study.pdf
https://dfw.cbslocal.com/2018/12/28/dallas-promotes-new-fire-chief/
https://dallaspolice.net/abouts/dpdhistory</t>
        </r>
      </text>
    </comment>
    <comment ref="S66" authorId="0" shapeId="0" xr:uid="{11F50298-90D8-4790-AE3D-88C267B606EB}">
      <text>
        <r>
          <rPr>
            <sz val="11"/>
            <color theme="1"/>
            <rFont val="Calibri"/>
            <family val="2"/>
            <scheme val="minor"/>
          </rPr>
          <t>Alex Gant:
PCTMALE (POL) - .81
PCTMALE (FF) - .964
TOTACTIVE (POL) - 4196
TOTACTIVE (FF) - 1942
https://www.dallasnews.com/news/2015/11/29/female-firefighters-are-few-far-between-in-d-fw-station-houses/
https://www.dol.gov/sites/dolgov/files/OASP/legacy/files/FirstResponders_DPDCase_Study.pdf
https://dfw.cbslocal.com/2018/12/28/dallas-promotes-new-fire-chief/
https://dallaspolice.net/abouts/dpdhistory</t>
        </r>
      </text>
    </comment>
    <comment ref="S67" authorId="0" shapeId="0" xr:uid="{80F7A16E-F5CE-45B8-BD30-3B04FB18A34F}">
      <text>
        <r>
          <rPr>
            <sz val="11"/>
            <color theme="1"/>
            <rFont val="Calibri"/>
            <family val="2"/>
            <scheme val="minor"/>
          </rPr>
          <t>Alex Gant:
PCTMALE (POL) - .81
PCTMALE (FF) - .964
TOTACTIVE (POL) - 4196
TOTACTIVE (FF) - 1942
https://www.dallasnews.com/news/2015/11/29/female-firefighters-are-few-far-between-in-d-fw-station-houses/
https://www.dol.gov/sites/dolgov/files/OASP/legacy/files/FirstResponders_DPDCase_Study.pdf
https://dfw.cbslocal.com/2018/12/28/dallas-promotes-new-fire-chief/
https://dallaspolice.net/abouts/dpdhistory</t>
        </r>
      </text>
    </comment>
    <comment ref="S74" authorId="0" shapeId="0" xr:uid="{42C5A0BF-647E-4B94-82AA-2B7863962757}">
      <text>
        <r>
          <rPr>
            <sz val="11"/>
            <color theme="1"/>
            <rFont val="Calibri"/>
            <family val="2"/>
            <scheme val="minor"/>
          </rPr>
          <t>Alex Gant:
https://www.zippia.com/city-and-county-of-denver-careers-398337/#</t>
        </r>
      </text>
    </comment>
    <comment ref="S77" authorId="0" shapeId="0" xr:uid="{57CBEDF4-8F50-4EB0-9774-437703DACBA1}">
      <text>
        <r>
          <rPr>
            <sz val="11"/>
            <color theme="1"/>
            <rFont val="Calibri"/>
            <family val="2"/>
            <scheme val="minor"/>
          </rPr>
          <t>Alex Gant:
https://www.zippia.com/denver-public-schools-careers-723137/#</t>
        </r>
      </text>
    </comment>
    <comment ref="S79" authorId="6" shapeId="0" xr:uid="{8694F5B0-1E52-4284-ABF1-12BC2C8FBF1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https://www.zippia.com/denver-public-schools-careers-723137/#</t>
      </text>
    </comment>
    <comment ref="S110" authorId="0" shapeId="0" xr:uid="{E2C9006E-A7F4-4090-871D-88F93000A0A2}">
      <text>
        <r>
          <rPr>
            <sz val="11"/>
            <color theme="1"/>
            <rFont val="Calibri"/>
            <family val="2"/>
            <scheme val="minor"/>
          </rPr>
          <t>Alex Gant:
https://www.jaxdailyrecord.com/article/city-employee-diversity-comes-under-scrutiny</t>
        </r>
      </text>
    </comment>
    <comment ref="S120" authorId="0" shapeId="0" xr:uid="{A9F166C7-BFA8-4B00-9B1A-EE02F8E2BE01}">
      <text>
        <r>
          <rPr>
            <sz val="11"/>
            <color theme="1"/>
            <rFont val="Calibri"/>
            <family val="2"/>
            <scheme val="minor"/>
          </rPr>
          <t>Alex Gant:
https://data.kcmo.org/stories/s/ar49-3jbj</t>
        </r>
      </text>
    </comment>
    <comment ref="S121" authorId="0" shapeId="0" xr:uid="{C1C32451-2E92-44A1-83CA-7FC53697B406}">
      <text>
        <r>
          <rPr>
            <sz val="11"/>
            <color theme="1"/>
            <rFont val="Calibri"/>
            <family val="2"/>
            <scheme val="minor"/>
          </rPr>
          <t>Alex Gant:
https://data.kcmo.org/stories/s/ar49-3jbj</t>
        </r>
      </text>
    </comment>
    <comment ref="S122" authorId="0" shapeId="0" xr:uid="{05171415-8642-474F-9121-919F778575BA}">
      <text>
        <r>
          <rPr>
            <sz val="11"/>
            <color theme="1"/>
            <rFont val="Calibri"/>
            <family val="2"/>
            <scheme val="minor"/>
          </rPr>
          <t>Alex Gant:
https://data.kcmo.org/stories/s/ar49-3jbj</t>
        </r>
      </text>
    </comment>
    <comment ref="S138" authorId="0" shapeId="0" xr:uid="{009F7893-5121-4BF7-BE6A-E0D17A8E4378}">
      <text>
        <r>
          <rPr>
            <sz val="11"/>
            <color theme="1"/>
            <rFont val="Calibri"/>
            <family val="2"/>
            <scheme val="minor"/>
          </rPr>
          <t>Alex Gant:
https://lacontroller.org/audits-and-reports/diversitywithequity/</t>
        </r>
      </text>
    </comment>
    <comment ref="S142" authorId="0" shapeId="0" xr:uid="{955EEA3A-16E0-42E8-B828-F689B4CA0875}">
      <text>
        <r>
          <rPr>
            <sz val="11"/>
            <color theme="1"/>
            <rFont val="Calibri"/>
            <family val="2"/>
            <scheme val="minor"/>
          </rPr>
          <t>Alex Gant:
https://experience.arcgis.com/experience/9afc8667af8041d6bcfe14c3d729e172/page/City-Employees-by-Department/</t>
        </r>
      </text>
    </comment>
    <comment ref="S143" authorId="0" shapeId="0" xr:uid="{0DCA4FA6-B95F-42C7-9E87-2D631887DEB0}">
      <text>
        <r>
          <rPr>
            <sz val="11"/>
            <color theme="1"/>
            <rFont val="Calibri"/>
            <family val="2"/>
            <scheme val="minor"/>
          </rPr>
          <t>Alex Gant:
https://experience.arcgis.com/experience/9afc8667af8041d6bcfe14c3d729e172/page/City-Employees-by-Department/</t>
        </r>
      </text>
    </comment>
    <comment ref="S144" authorId="0" shapeId="0" xr:uid="{4E5BAF2E-D189-4AFB-BD0B-E5C0591C8DF2}">
      <text>
        <r>
          <rPr>
            <sz val="11"/>
            <color theme="1"/>
            <rFont val="Calibri"/>
            <family val="2"/>
            <scheme val="minor"/>
          </rPr>
          <t>Alex Gant:
https://experience.arcgis.com/experience/9afc8667af8041d6bcfe14c3d729e172/page/City-Employees-by-Department/</t>
        </r>
      </text>
    </comment>
    <comment ref="S156" authorId="7" shapeId="0" xr:uid="{26DA22D2-B495-428A-BCA9-6514FB1A2AF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57" authorId="8" shapeId="0" xr:uid="{85EE3196-E2B2-4C90-99CD-E572ED402D7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58" authorId="9" shapeId="0" xr:uid="{1F6A6422-8AE4-46BE-985E-020745821DC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59" authorId="10" shapeId="0" xr:uid="{CB615FA1-741B-4425-8DD7-25348207A6A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0" authorId="11" shapeId="0" xr:uid="{CBC024F4-1A0E-41C9-BF43-BB281EC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1" authorId="12" shapeId="0" xr:uid="{371D8B36-3873-4F84-A786-4D087BCC12B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2" authorId="13" shapeId="0" xr:uid="{3AF63824-3BC0-49C9-B686-BB92A7E459E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3" authorId="14" shapeId="0" xr:uid="{49E51F1A-716B-4D88-BB7E-C0C9DF158B9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4" authorId="15" shapeId="0" xr:uid="{D235F1D9-CC31-4D50-92CA-F08D84AA80F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5" authorId="16" shapeId="0" xr:uid="{D810FEE4-200D-4A6C-9FB7-6F0317EF46D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6" authorId="17" shapeId="0" xr:uid="{F07B9C2E-A733-4267-9093-2E3A8E66C7B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7" authorId="18" shapeId="0" xr:uid="{83BE69D5-6AA5-4063-BCC2-63EA5A3D8F5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8" authorId="19" shapeId="0" xr:uid="{D01066BD-410D-442A-BBB9-37CF7A1B5BA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69" authorId="20" shapeId="0" xr:uid="{B1C95E7E-7B32-4773-BD92-ADAD15BB56C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70" authorId="21" shapeId="0" xr:uid="{CB5B01A7-3BD6-4AAE-B31D-5FDB12527C6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https://www1.nyc.gov/assets/dcas/downloads/pdf/reports/workforce_profile_report_fy_2015.pdf</t>
      </text>
    </comment>
    <comment ref="S183" authorId="0" shapeId="0" xr:uid="{E0617F00-213B-4CE4-9B6E-30FD606E7A58}">
      <text>
        <r>
          <rPr>
            <sz val="11"/>
            <color theme="1"/>
            <rFont val="Calibri"/>
            <family val="2"/>
            <scheme val="minor"/>
          </rPr>
          <t>Alex Gant:
https://www.phila.gov/media/20211222091429/2021DiversityReport.pdf</t>
        </r>
      </text>
    </comment>
    <comment ref="S184" authorId="0" shapeId="0" xr:uid="{E029BB23-BB91-45A9-96E6-E34314517C31}">
      <text>
        <r>
          <rPr>
            <sz val="11"/>
            <color theme="1"/>
            <rFont val="Calibri"/>
            <family val="2"/>
            <scheme val="minor"/>
          </rPr>
          <t>Alex Gant:
https://www.phila.gov/media/20211222091429/2021DiversityReport.pdf</t>
        </r>
      </text>
    </comment>
    <comment ref="S185" authorId="0" shapeId="0" xr:uid="{8346F1AC-76E2-4914-9A86-51ED79BD2D3D}">
      <text>
        <r>
          <rPr>
            <sz val="11"/>
            <color theme="1"/>
            <rFont val="Calibri"/>
            <family val="2"/>
            <scheme val="minor"/>
          </rPr>
          <t>Alex Gant:
https://www.phila.gov/media/20211222091429/2021DiversityReport.pdf</t>
        </r>
      </text>
    </comment>
    <comment ref="S186" authorId="0" shapeId="0" xr:uid="{0D1031E4-DC99-46B0-8052-F0828D22E2E6}">
      <text>
        <r>
          <rPr>
            <sz val="11"/>
            <color theme="1"/>
            <rFont val="Calibri"/>
            <family val="2"/>
            <scheme val="minor"/>
          </rPr>
          <t>Alex Gant:
https://www.zippia.com/city-of-phoenix-careers-751540/#</t>
        </r>
      </text>
    </comment>
    <comment ref="S187" authorId="0" shapeId="0" xr:uid="{4F32F7EB-3E6C-4C89-8E6C-4F212B6F5128}">
      <text>
        <r>
          <rPr>
            <sz val="11"/>
            <color theme="1"/>
            <rFont val="Calibri"/>
            <family val="2"/>
            <scheme val="minor"/>
          </rPr>
          <t>Alex Gant:
https://www.zippia.com/city-of-phoenix-careers-751540/#</t>
        </r>
      </text>
    </comment>
    <comment ref="S188" authorId="0" shapeId="0" xr:uid="{1C2689E9-C0E8-47A4-8C7A-47723308EBF5}">
      <text>
        <r>
          <rPr>
            <sz val="11"/>
            <color theme="1"/>
            <rFont val="Calibri"/>
            <family val="2"/>
            <scheme val="minor"/>
          </rPr>
          <t>Alex Gant:
https://www.zippia.com/city-of-phoenix-careers-751540/#</t>
        </r>
      </text>
    </comment>
    <comment ref="S200" authorId="22" shapeId="0" xr:uid="{05A0FF4D-6F66-48B3-8DCC-A9079B719D5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https://www.sandiego.gov/sites/default/files/19-001_citywide_human_capital_fact_book.pdf</t>
      </text>
    </comment>
    <comment ref="S203" authorId="0" shapeId="0" xr:uid="{727093AC-EE8A-43A7-88D9-D355D648C9E3}">
      <text>
        <r>
          <rPr>
            <sz val="11"/>
            <color theme="1"/>
            <rFont val="Calibri"/>
            <family val="2"/>
            <scheme val="minor"/>
          </rPr>
          <t>Alex Gant:
https://sfdhr.org/gender-and-department</t>
        </r>
      </text>
    </comment>
    <comment ref="S204" authorId="0" shapeId="0" xr:uid="{4888588E-F4DA-427F-B51D-56F212870933}">
      <text>
        <r>
          <rPr>
            <sz val="11"/>
            <color theme="1"/>
            <rFont val="Calibri"/>
            <family val="2"/>
            <scheme val="minor"/>
          </rPr>
          <t>Alex Gant:
https://sfdhr.org/gender-and-department</t>
        </r>
      </text>
    </comment>
    <comment ref="S205" authorId="0" shapeId="0" xr:uid="{FCEBA6EF-4F58-499D-9551-652D9BB94117}">
      <text>
        <r>
          <rPr>
            <sz val="11"/>
            <color theme="1"/>
            <rFont val="Calibri"/>
            <family val="2"/>
            <scheme val="minor"/>
          </rPr>
          <t>Alex Gant:
https://sfdhr.org/gender-and-department</t>
        </r>
      </text>
    </comment>
    <comment ref="S207" authorId="0" shapeId="0" xr:uid="{88F93578-D5B1-4695-983B-CAF55962F80B}">
      <text>
        <r>
          <rPr>
            <sz val="11"/>
            <color theme="1"/>
            <rFont val="Calibri"/>
            <family val="2"/>
            <scheme val="minor"/>
          </rPr>
          <t>Alex Gant:
https://www.seattle.gov/Documents/Departments/CivilRights/Gender-Equity-In-Pay-Task-Force-Report.pdf</t>
        </r>
      </text>
    </comment>
    <comment ref="S208" authorId="0" shapeId="0" xr:uid="{BA339597-9673-4428-86A7-E36D7AAB9B8A}">
      <text>
        <r>
          <rPr>
            <sz val="11"/>
            <color theme="1"/>
            <rFont val="Calibri"/>
            <family val="2"/>
            <scheme val="minor"/>
          </rPr>
          <t>Alex Gant:
https://www.seattle.gov/Documents/Departments/CivilRights/Gender-Equity-In-Pay-Task-Force-Report.pdf</t>
        </r>
      </text>
    </comment>
    <comment ref="S209" authorId="0" shapeId="0" xr:uid="{5708207C-8C85-4644-9F68-91FC7FE2C12E}">
      <text>
        <r>
          <rPr>
            <sz val="11"/>
            <color theme="1"/>
            <rFont val="Calibri"/>
            <family val="2"/>
            <scheme val="minor"/>
          </rPr>
          <t>Alex Gant:
https://www.seattle.gov/Documents/Departments/CivilRights/Gender-Equity-In-Pay-Task-Force-Report.pdf</t>
        </r>
      </text>
    </comment>
  </commentList>
</comments>
</file>

<file path=xl/sharedStrings.xml><?xml version="1.0" encoding="utf-8"?>
<sst xmlns="http://schemas.openxmlformats.org/spreadsheetml/2006/main" count="2640" uniqueCount="515">
  <si>
    <t>City</t>
  </si>
  <si>
    <t>PlanName</t>
  </si>
  <si>
    <t>fy</t>
  </si>
  <si>
    <t>PlanType</t>
  </si>
  <si>
    <t>planid</t>
  </si>
  <si>
    <t>ppd_id</t>
  </si>
  <si>
    <t>liability</t>
  </si>
  <si>
    <t>assets</t>
  </si>
  <si>
    <t>inflation_assumption</t>
  </si>
  <si>
    <t>discount</t>
  </si>
  <si>
    <t>wage_inf</t>
  </si>
  <si>
    <t>payroll</t>
  </si>
  <si>
    <t>actives_tot</t>
  </si>
  <si>
    <t>inactive</t>
  </si>
  <si>
    <t>retired</t>
  </si>
  <si>
    <t>ActiveSalary_avg</t>
  </si>
  <si>
    <t>BeneficiaryBenefit_avg</t>
  </si>
  <si>
    <t>reqcont employer</t>
  </si>
  <si>
    <t>pctmale</t>
  </si>
  <si>
    <t>avgageret</t>
  </si>
  <si>
    <t>pctmrg</t>
  </si>
  <si>
    <t>df</t>
  </si>
  <si>
    <t>reduct</t>
  </si>
  <si>
    <t>pen</t>
  </si>
  <si>
    <t>ret_liability</t>
  </si>
  <si>
    <t>inact_liability</t>
  </si>
  <si>
    <t>PVFB</t>
  </si>
  <si>
    <t>ncrate_tot</t>
  </si>
  <si>
    <t>InvestmentReturn_1yr</t>
  </si>
  <si>
    <t>InvestmentReturn_3yr</t>
  </si>
  <si>
    <t>InvestmentReturn_5yr</t>
  </si>
  <si>
    <t>InvestmentReturn_10yr</t>
  </si>
  <si>
    <t>EQTotal_Rtrn</t>
  </si>
  <si>
    <t>FITotal_Rtrn</t>
  </si>
  <si>
    <t>PETotal_Rtrn</t>
  </si>
  <si>
    <t>HFTotal_Rtrn</t>
  </si>
  <si>
    <t>COMDTotal_Rtrn</t>
  </si>
  <si>
    <t>RETotal_Rtrn</t>
  </si>
  <si>
    <t>AltMiscTotal_Rtrn</t>
  </si>
  <si>
    <t>CashTotal_Rtrn</t>
  </si>
  <si>
    <t>OtherTotal_Rtrn</t>
  </si>
  <si>
    <t>EQTotal_Actl</t>
  </si>
  <si>
    <t>FITotal_Actl</t>
  </si>
  <si>
    <t>PETotal_Actl</t>
  </si>
  <si>
    <t>HFTotal_Actl</t>
  </si>
  <si>
    <t>COMDTotal_Actl</t>
  </si>
  <si>
    <t>RETotal_Actl</t>
  </si>
  <si>
    <t>AltMiscTotal_Actl</t>
  </si>
  <si>
    <t>CashTotal_Actl</t>
  </si>
  <si>
    <t>OtherTotal_Actl</t>
  </si>
  <si>
    <t>EQTotal_Trgt</t>
  </si>
  <si>
    <t>FITotal_Trgt</t>
  </si>
  <si>
    <t>PETotal_Trgt</t>
  </si>
  <si>
    <t>HFTotal_Trgt</t>
  </si>
  <si>
    <t>COMDTotal_Trgt</t>
  </si>
  <si>
    <t>RETotal_Trgt</t>
  </si>
  <si>
    <t>AltMiscTotal_Trgt</t>
  </si>
  <si>
    <t>CashTotal_Trgt</t>
  </si>
  <si>
    <t>OtherTotal_Trgt</t>
  </si>
  <si>
    <t>Anchorage</t>
  </si>
  <si>
    <t>Anchorage Police and Fire</t>
  </si>
  <si>
    <t>18</t>
  </si>
  <si>
    <t>ffpol</t>
  </si>
  <si>
    <t>anc_data18_ffpol</t>
  </si>
  <si>
    <t>20</t>
  </si>
  <si>
    <t>anc_data20_ffpol</t>
  </si>
  <si>
    <t>19</t>
  </si>
  <si>
    <t>anc_data19_ffpol</t>
  </si>
  <si>
    <t>Atlanta</t>
  </si>
  <si>
    <t>Atlanta ERS</t>
  </si>
  <si>
    <t>gen</t>
  </si>
  <si>
    <t>atl_data18_gen</t>
  </si>
  <si>
    <t>atl_data20_gen</t>
  </si>
  <si>
    <t>atl_data19_gen</t>
  </si>
  <si>
    <t>Atlanta Fire</t>
  </si>
  <si>
    <t>ff</t>
  </si>
  <si>
    <t>atl_data19_ff</t>
  </si>
  <si>
    <t>atl_data18_ff</t>
  </si>
  <si>
    <t>atl_data20_ff</t>
  </si>
  <si>
    <t>Atlanta Police</t>
  </si>
  <si>
    <t>pol</t>
  </si>
  <si>
    <t>atl_data18_pol</t>
  </si>
  <si>
    <t>atl_data20_pol</t>
  </si>
  <si>
    <t>atl_data19_pol</t>
  </si>
  <si>
    <t>Austin</t>
  </si>
  <si>
    <t>Austin Fire</t>
  </si>
  <si>
    <t>aus_data18_ff</t>
  </si>
  <si>
    <t>Austin Police</t>
  </si>
  <si>
    <t>aus_data18_pol</t>
  </si>
  <si>
    <t>Austin ERS</t>
  </si>
  <si>
    <t>aus_data18_gen</t>
  </si>
  <si>
    <t>aus_data20_gen</t>
  </si>
  <si>
    <t>aus_data19_gen</t>
  </si>
  <si>
    <t>Baltimore</t>
  </si>
  <si>
    <t>Baltimore City Employees</t>
  </si>
  <si>
    <t>bal_data19_gen</t>
  </si>
  <si>
    <t>bal_data18_gen</t>
  </si>
  <si>
    <t>bal_data20_gen</t>
  </si>
  <si>
    <t>Baltimore Fire and Police</t>
  </si>
  <si>
    <t>bal_data18_ffpol</t>
  </si>
  <si>
    <t>bal_data20_ffpol</t>
  </si>
  <si>
    <t>bal_data19_ffpol</t>
  </si>
  <si>
    <t>Baton Rouge</t>
  </si>
  <si>
    <t>Baton Rouge City Parish RS</t>
  </si>
  <si>
    <t>btr_data18_gen</t>
  </si>
  <si>
    <t>btr_data20_gen</t>
  </si>
  <si>
    <t>btr_data19_gen</t>
  </si>
  <si>
    <t>Birmingham</t>
  </si>
  <si>
    <t>Birmingham RRS</t>
  </si>
  <si>
    <t>bhm_data18_gen</t>
  </si>
  <si>
    <t>bhm_data20_gen</t>
  </si>
  <si>
    <t>bhm_data19_gen</t>
  </si>
  <si>
    <t>Bismarck</t>
  </si>
  <si>
    <t>Bismarck Employees' Pension Plan</t>
  </si>
  <si>
    <t>bis_data18_gen</t>
  </si>
  <si>
    <t>bis_data20_gen</t>
  </si>
  <si>
    <t>bis_data19_gen</t>
  </si>
  <si>
    <t>Boston</t>
  </si>
  <si>
    <t>Boston RS</t>
  </si>
  <si>
    <t>bos_data19_gen</t>
  </si>
  <si>
    <t>bos_data18_gen</t>
  </si>
  <si>
    <t>bos_data20_gen</t>
  </si>
  <si>
    <t>Burlington</t>
  </si>
  <si>
    <t>Burlington ERS</t>
  </si>
  <si>
    <t>bur_data18_gen</t>
  </si>
  <si>
    <t>bur_data20_gen</t>
  </si>
  <si>
    <t>bur_data19_gen</t>
  </si>
  <si>
    <t>Charleston</t>
  </si>
  <si>
    <t>Charleston, WV Firemen's Pension</t>
  </si>
  <si>
    <t>crw_data18_ff</t>
  </si>
  <si>
    <t>crw_data20_ff</t>
  </si>
  <si>
    <t>crw_data19_ff</t>
  </si>
  <si>
    <t>Charlotte</t>
  </si>
  <si>
    <t>Charlotte Firefighters' RS</t>
  </si>
  <si>
    <t>clt_data18_ff</t>
  </si>
  <si>
    <t>clt_data20_ff</t>
  </si>
  <si>
    <t>clt_data19_ff</t>
  </si>
  <si>
    <t>Chattanooga</t>
  </si>
  <si>
    <t>Chattanooga Fire and Police</t>
  </si>
  <si>
    <t>cha_data18_ffpol</t>
  </si>
  <si>
    <t>Chicago</t>
  </si>
  <si>
    <t>Chicago Fire</t>
  </si>
  <si>
    <t>chi_data19_ff</t>
  </si>
  <si>
    <t>chi_data18_ff</t>
  </si>
  <si>
    <t>chi_data20_ff</t>
  </si>
  <si>
    <t>Chicago Municipal</t>
  </si>
  <si>
    <t>chi_data19_gen</t>
  </si>
  <si>
    <t>chi_data18_gen</t>
  </si>
  <si>
    <t>chi_data20_gen</t>
  </si>
  <si>
    <t>Chicago Police</t>
  </si>
  <si>
    <t>chi_data19_pol</t>
  </si>
  <si>
    <t>chi_data18_pol</t>
  </si>
  <si>
    <t>chi_data20_pol</t>
  </si>
  <si>
    <t>Chicago Teachers</t>
  </si>
  <si>
    <t>edu</t>
  </si>
  <si>
    <t>chi_data18_edu</t>
  </si>
  <si>
    <t>chi_data20_edu</t>
  </si>
  <si>
    <t>chi_data19_edu</t>
  </si>
  <si>
    <t>Cincinnati</t>
  </si>
  <si>
    <t>Cincinnati ERS</t>
  </si>
  <si>
    <t>cin_data18_gen</t>
  </si>
  <si>
    <t>cin_data20_gen</t>
  </si>
  <si>
    <t>cin_data19_gen</t>
  </si>
  <si>
    <t>Dallas</t>
  </si>
  <si>
    <t>Dallas ERS</t>
  </si>
  <si>
    <t>dal_data19_gen</t>
  </si>
  <si>
    <t>dal_data18_gen</t>
  </si>
  <si>
    <t>dal_data20_gen</t>
  </si>
  <si>
    <t>Dallas Police and Fire</t>
  </si>
  <si>
    <t>dal_data19_ffpol</t>
  </si>
  <si>
    <t>dal_data18_ffpol</t>
  </si>
  <si>
    <t>dal_data20_ffpol</t>
  </si>
  <si>
    <t>DC</t>
  </si>
  <si>
    <t>DC Police &amp; Fire</t>
  </si>
  <si>
    <t>dc_data18_ffpol</t>
  </si>
  <si>
    <t>dc_data20_ffpol</t>
  </si>
  <si>
    <t>dc_data19_ffpol</t>
  </si>
  <si>
    <t>DC Teachers</t>
  </si>
  <si>
    <t>dc_data18_edu</t>
  </si>
  <si>
    <t>dc_data20_edu</t>
  </si>
  <si>
    <t>dc_data19_edu</t>
  </si>
  <si>
    <t>Denver</t>
  </si>
  <si>
    <t>Denver Employees</t>
  </si>
  <si>
    <t>den_data18_gen</t>
  </si>
  <si>
    <t>den_data20_gen</t>
  </si>
  <si>
    <t>den_data19_gen</t>
  </si>
  <si>
    <t>Denver Schools</t>
  </si>
  <si>
    <t>den_data18_edu</t>
  </si>
  <si>
    <t>den_data20_edu</t>
  </si>
  <si>
    <t>den_data19_edu</t>
  </si>
  <si>
    <t>Des Moines</t>
  </si>
  <si>
    <t>Des Moines Water Works</t>
  </si>
  <si>
    <t>des_data18_gen</t>
  </si>
  <si>
    <t>des_data20_gen</t>
  </si>
  <si>
    <t>des_data19_gen</t>
  </si>
  <si>
    <t>Detroit</t>
  </si>
  <si>
    <t>Detroit General RS</t>
  </si>
  <si>
    <t>det_data19_gen</t>
  </si>
  <si>
    <t>det_data18_gen</t>
  </si>
  <si>
    <t>det_data20_gen</t>
  </si>
  <si>
    <t>Detroit Police and Fire</t>
  </si>
  <si>
    <t>det_data18_ffpol</t>
  </si>
  <si>
    <t>det_data20_ffpol</t>
  </si>
  <si>
    <t>det_data19_ffpol</t>
  </si>
  <si>
    <t>Duluth</t>
  </si>
  <si>
    <t>Duluth Teachers</t>
  </si>
  <si>
    <t>dul_data18_edu</t>
  </si>
  <si>
    <t>dul_data20_edu</t>
  </si>
  <si>
    <t>dul_data19_edu</t>
  </si>
  <si>
    <t>Fargo</t>
  </si>
  <si>
    <t>Fargo Police</t>
  </si>
  <si>
    <t>fgo_data18_pol</t>
  </si>
  <si>
    <t>Fargo Fire</t>
  </si>
  <si>
    <t>fgo_data18_ff</t>
  </si>
  <si>
    <t>Fresno</t>
  </si>
  <si>
    <t>Fresno Police and Fire</t>
  </si>
  <si>
    <t>frn_data18_ffpol</t>
  </si>
  <si>
    <t>Greenville</t>
  </si>
  <si>
    <t>Greenville Fire Pension Plan</t>
  </si>
  <si>
    <t>grn_data18_ff</t>
  </si>
  <si>
    <t>grn_data20_ff</t>
  </si>
  <si>
    <t>grn_data19_ff</t>
  </si>
  <si>
    <t>Hartford</t>
  </si>
  <si>
    <t>Hartford MERF</t>
  </si>
  <si>
    <t>htf_data18_gen</t>
  </si>
  <si>
    <t>htf_data20_gen</t>
  </si>
  <si>
    <t>htf_data19_gen</t>
  </si>
  <si>
    <t>Houston</t>
  </si>
  <si>
    <t>Houston Firefighters</t>
  </si>
  <si>
    <t>hou_data18_ff</t>
  </si>
  <si>
    <t>hou_data20_ff</t>
  </si>
  <si>
    <t>hou_data19_ff</t>
  </si>
  <si>
    <t>Houston Municipal</t>
  </si>
  <si>
    <t>hou_data19_gen</t>
  </si>
  <si>
    <t>hou_data18_gen</t>
  </si>
  <si>
    <t>hou_data20_gen</t>
  </si>
  <si>
    <t>Houston Police</t>
  </si>
  <si>
    <t>hou_data19_pol</t>
  </si>
  <si>
    <t>hou_data18_pol</t>
  </si>
  <si>
    <t>hou_data20_pol</t>
  </si>
  <si>
    <t>Jacksonville</t>
  </si>
  <si>
    <t>Jacksonville ERS</t>
  </si>
  <si>
    <t>jax_data18_gen</t>
  </si>
  <si>
    <t>jax_data20_gen</t>
  </si>
  <si>
    <t>jax_data19_gen</t>
  </si>
  <si>
    <t>Jacksonville Fire and Police</t>
  </si>
  <si>
    <t>jax_data19_ffpol</t>
  </si>
  <si>
    <t>jax_data18_ffpol</t>
  </si>
  <si>
    <t>jax_data20_ffpol</t>
  </si>
  <si>
    <t>Jersey City</t>
  </si>
  <si>
    <t>Jersey City Municipal Employees</t>
  </si>
  <si>
    <t>jer_data18_gen</t>
  </si>
  <si>
    <t>jer_data20_gen</t>
  </si>
  <si>
    <t>jer_data19_gen</t>
  </si>
  <si>
    <t>Kansas City</t>
  </si>
  <si>
    <t>Kansas City Fire</t>
  </si>
  <si>
    <t>kc_data18_ff</t>
  </si>
  <si>
    <t>Kansas City Missouri ERS</t>
  </si>
  <si>
    <t>kc_data18_gen</t>
  </si>
  <si>
    <t>kc_data20_gen</t>
  </si>
  <si>
    <t>kc_data19_gen</t>
  </si>
  <si>
    <t>Kansas City Schools</t>
  </si>
  <si>
    <t>kc_data19_edu</t>
  </si>
  <si>
    <t>kc_data20_edu</t>
  </si>
  <si>
    <t>Kansas City, Police Retirement System.</t>
  </si>
  <si>
    <t>kc_data18_pol</t>
  </si>
  <si>
    <t>24a</t>
  </si>
  <si>
    <t xml:space="preserve">Kansas City </t>
  </si>
  <si>
    <t>kc_data18_edu</t>
  </si>
  <si>
    <t>Little Rock</t>
  </si>
  <si>
    <t>Little Rock Firemen’s Fund</t>
  </si>
  <si>
    <t>ltr_data18_ff</t>
  </si>
  <si>
    <t>ltr_data20_ff</t>
  </si>
  <si>
    <t>ltr_data19_ff</t>
  </si>
  <si>
    <t>Los Angeles</t>
  </si>
  <si>
    <t>Los Angeles ERS</t>
  </si>
  <si>
    <t>la_data19_gen</t>
  </si>
  <si>
    <t>la_data18_gen</t>
  </si>
  <si>
    <t>la_data20_gen</t>
  </si>
  <si>
    <t>Los Angeles Fire and Police</t>
  </si>
  <si>
    <t>la_data19_ffpol</t>
  </si>
  <si>
    <t>la_data18_ffpol</t>
  </si>
  <si>
    <t>la_data20_ffpol</t>
  </si>
  <si>
    <t>Los Angeles Water and Power</t>
  </si>
  <si>
    <t>uty</t>
  </si>
  <si>
    <t>la_data19_uty</t>
  </si>
  <si>
    <t>la_data18_uty</t>
  </si>
  <si>
    <t>la_data20_uty</t>
  </si>
  <si>
    <t>Manchester</t>
  </si>
  <si>
    <t>Manchester ERS</t>
  </si>
  <si>
    <t>man_data18_gen</t>
  </si>
  <si>
    <t>man_data20_gen</t>
  </si>
  <si>
    <t>man_data19_gen</t>
  </si>
  <si>
    <t>Milwaukee</t>
  </si>
  <si>
    <t>Milwaukee City ERS</t>
  </si>
  <si>
    <t>mil_ data19_gen</t>
  </si>
  <si>
    <t>mil_data18_gen</t>
  </si>
  <si>
    <t>mil_data20_gen</t>
  </si>
  <si>
    <t>Minneapolis</t>
  </si>
  <si>
    <t>Minneapolis ERF</t>
  </si>
  <si>
    <t>min_data18_gen</t>
  </si>
  <si>
    <t>min_data20_gen</t>
  </si>
  <si>
    <t>min_data19_gen</t>
  </si>
  <si>
    <t>Mobile</t>
  </si>
  <si>
    <t>Mobile Police and Fire</t>
  </si>
  <si>
    <t>mob_data18_ffpol</t>
  </si>
  <si>
    <t>Nashville</t>
  </si>
  <si>
    <t>Nashville-Davidson ERS</t>
  </si>
  <si>
    <t>nsh_data18_gen</t>
  </si>
  <si>
    <t>nsh_data20_gen</t>
  </si>
  <si>
    <t>nsh_data19_gen</t>
  </si>
  <si>
    <t>New Orleans</t>
  </si>
  <si>
    <t>New Orleans ERS</t>
  </si>
  <si>
    <t>no_data18_gen</t>
  </si>
  <si>
    <t>no_data20_gen</t>
  </si>
  <si>
    <t>no_data19_gen</t>
  </si>
  <si>
    <t>New Orleans Fire</t>
  </si>
  <si>
    <t>no_data18_ff</t>
  </si>
  <si>
    <t>77a</t>
  </si>
  <si>
    <t>New York City</t>
  </si>
  <si>
    <t>New York City Educational</t>
  </si>
  <si>
    <t>nyc_data19_edu1</t>
  </si>
  <si>
    <t>nyc_data18_edu1</t>
  </si>
  <si>
    <t>New York City ERS</t>
  </si>
  <si>
    <t>nyc_data19_gen</t>
  </si>
  <si>
    <t>nyc_data18_gen</t>
  </si>
  <si>
    <t>nyc_data20_gen</t>
  </si>
  <si>
    <t>New York City Fire</t>
  </si>
  <si>
    <t>nyc_data19_ff</t>
  </si>
  <si>
    <t>nyc_data18_ff</t>
  </si>
  <si>
    <t>nyc_data20_ff</t>
  </si>
  <si>
    <t>New York City Police</t>
  </si>
  <si>
    <t>nyc_data19_pol</t>
  </si>
  <si>
    <t>nyc_data18_pol</t>
  </si>
  <si>
    <t>nyc_data20_pol</t>
  </si>
  <si>
    <t>New York City Teachers</t>
  </si>
  <si>
    <t>nyc_data19_edu2</t>
  </si>
  <si>
    <t>nyc_data18_edu2</t>
  </si>
  <si>
    <t>nyc_data20_edu2</t>
  </si>
  <si>
    <t>New York Educational</t>
  </si>
  <si>
    <t>nyc_data20_edu1</t>
  </si>
  <si>
    <t>Oklahoma City</t>
  </si>
  <si>
    <t>Oklahoma City ERS</t>
  </si>
  <si>
    <t>okc_data18_gen</t>
  </si>
  <si>
    <t>okc_data20_gen</t>
  </si>
  <si>
    <t>okc_data19_gen</t>
  </si>
  <si>
    <t>Omaha</t>
  </si>
  <si>
    <t>Omaha ERS</t>
  </si>
  <si>
    <t>oma_data19_gen</t>
  </si>
  <si>
    <t>oma_data18_gen</t>
  </si>
  <si>
    <t>oma_data20_gen</t>
  </si>
  <si>
    <t>Omaha Police and Fire</t>
  </si>
  <si>
    <t>oma_data18_ffpol</t>
  </si>
  <si>
    <t>oma_data20_ffpol</t>
  </si>
  <si>
    <t>oma_data19_ffpol</t>
  </si>
  <si>
    <t>Omaha School</t>
  </si>
  <si>
    <t>oma_data18_edu</t>
  </si>
  <si>
    <t>oma_data20_edu</t>
  </si>
  <si>
    <t>oma_data19_edu</t>
  </si>
  <si>
    <t>Philadelphia</t>
  </si>
  <si>
    <t>Philadelphia Municipal</t>
  </si>
  <si>
    <t>phi_data19_gen</t>
  </si>
  <si>
    <t>phi_data18_gen</t>
  </si>
  <si>
    <t>phi_data20_gen</t>
  </si>
  <si>
    <t>Phoenix</t>
  </si>
  <si>
    <t>Phoenix ERS</t>
  </si>
  <si>
    <t>phx_data18_gen</t>
  </si>
  <si>
    <t>phx_data20_gen</t>
  </si>
  <si>
    <t>phx_data19_gen</t>
  </si>
  <si>
    <t>Pittsburgh</t>
  </si>
  <si>
    <t>Pittsburgh Fire</t>
  </si>
  <si>
    <t>Pittsburgh Municipal</t>
  </si>
  <si>
    <t>pit_data18_gen</t>
  </si>
  <si>
    <t>pit_data20_gen</t>
  </si>
  <si>
    <t>pit_data19_gen</t>
  </si>
  <si>
    <t>Pittsburgh Police</t>
  </si>
  <si>
    <t>pit_data18_pol</t>
  </si>
  <si>
    <t>pit_data20_pol</t>
  </si>
  <si>
    <t>pit_data19_pol</t>
  </si>
  <si>
    <t>Providence</t>
  </si>
  <si>
    <t>Providence ERS</t>
  </si>
  <si>
    <t>pvd_data18_gen</t>
  </si>
  <si>
    <t>pvd_data20_gen</t>
  </si>
  <si>
    <t>pvd_data19_gen</t>
  </si>
  <si>
    <t>San Antonio</t>
  </si>
  <si>
    <t>San Antonio Fire and Police</t>
  </si>
  <si>
    <t>sa_data18_ffpol</t>
  </si>
  <si>
    <t>55a</t>
  </si>
  <si>
    <t>San Diego</t>
  </si>
  <si>
    <t>San Diego City ERS</t>
  </si>
  <si>
    <t>sd_data19_gen</t>
  </si>
  <si>
    <t>sd_data18_gen</t>
  </si>
  <si>
    <t>sd_data20_gen</t>
  </si>
  <si>
    <t>San Francisco</t>
  </si>
  <si>
    <t>San Francisco City &amp; County</t>
  </si>
  <si>
    <t>sf_data19_gen</t>
  </si>
  <si>
    <t>sf_data18_gen</t>
  </si>
  <si>
    <t>sf_data20_gen</t>
  </si>
  <si>
    <t>San Jose</t>
  </si>
  <si>
    <t>San Jose Police and Fire</t>
  </si>
  <si>
    <t>sj_data18_ffpol</t>
  </si>
  <si>
    <t>Seattle</t>
  </si>
  <si>
    <t>Seattle ERS</t>
  </si>
  <si>
    <t>sea_data19_gen</t>
  </si>
  <si>
    <t>sea_data18_gen</t>
  </si>
  <si>
    <t>sea_data20_gen</t>
  </si>
  <si>
    <t>Sioux Falls</t>
  </si>
  <si>
    <t>Sioux Falls Fire</t>
  </si>
  <si>
    <t>sxf_data18_ff</t>
  </si>
  <si>
    <t>Sioux Falls ERS</t>
  </si>
  <si>
    <t>sxf_data18_gen</t>
  </si>
  <si>
    <t>sxf_data20_gen</t>
  </si>
  <si>
    <t>sxf_data19_gen</t>
  </si>
  <si>
    <t>Spokane</t>
  </si>
  <si>
    <t>Spokane Fire</t>
  </si>
  <si>
    <t>spo_data18_ff</t>
  </si>
  <si>
    <t>St. Louis</t>
  </si>
  <si>
    <t>St. Louis Police</t>
  </si>
  <si>
    <t>stl_data18_pol</t>
  </si>
  <si>
    <t>St. Louis Firemen</t>
  </si>
  <si>
    <t>stl_data18_ff</t>
  </si>
  <si>
    <t>76a</t>
  </si>
  <si>
    <t>St. Louis Employees</t>
  </si>
  <si>
    <t>stl_data19_gen</t>
  </si>
  <si>
    <t>stl_data18_gen</t>
  </si>
  <si>
    <t>stl_data20_gen</t>
  </si>
  <si>
    <t>St. Louis School Employees</t>
  </si>
  <si>
    <t>stl_data18_edu</t>
  </si>
  <si>
    <t>stl_data20_edu</t>
  </si>
  <si>
    <t>stl_data19_edu</t>
  </si>
  <si>
    <t>St. Paul</t>
  </si>
  <si>
    <t>St. Paul Teachers</t>
  </si>
  <si>
    <t>stp_data20_edu</t>
  </si>
  <si>
    <t>stp_data19_edu</t>
  </si>
  <si>
    <t>Tampa</t>
  </si>
  <si>
    <t>Tampa Fire and Police</t>
  </si>
  <si>
    <t>tb_data18_ffpol</t>
  </si>
  <si>
    <t>Tucson</t>
  </si>
  <si>
    <t>Tucson Supplemental RS</t>
  </si>
  <si>
    <t>tuc_data18_gen</t>
  </si>
  <si>
    <t>tuc_data20_gen</t>
  </si>
  <si>
    <t>tuc_data19_gen</t>
  </si>
  <si>
    <t>Wichita</t>
  </si>
  <si>
    <t>Wichita ERS</t>
  </si>
  <si>
    <t>wic_data18_gen</t>
  </si>
  <si>
    <t>wic_data20_gen</t>
  </si>
  <si>
    <t>wic_data19_gen</t>
  </si>
  <si>
    <t>Wichita Police and Fire</t>
  </si>
  <si>
    <t>wic_data19_ffpol</t>
  </si>
  <si>
    <t>wic_data18_ffpol</t>
  </si>
  <si>
    <t>wic_data20_ffpol</t>
  </si>
  <si>
    <t>Wilmington</t>
  </si>
  <si>
    <t>Wilmington Police</t>
  </si>
  <si>
    <t>wil_data18_pol</t>
  </si>
  <si>
    <t>plan name</t>
  </si>
  <si>
    <t>plan type</t>
  </si>
  <si>
    <t>year</t>
  </si>
  <si>
    <t>actives</t>
  </si>
  <si>
    <t>avgsalary</t>
  </si>
  <si>
    <t>avgbenefit</t>
  </si>
  <si>
    <t>reqcont</t>
  </si>
  <si>
    <t>actgrowth20</t>
  </si>
  <si>
    <t>actgrowth30</t>
  </si>
  <si>
    <t>actgrowth40</t>
  </si>
  <si>
    <t>actgrowthnat</t>
  </si>
  <si>
    <t>actgrowthst</t>
  </si>
  <si>
    <t>inflation</t>
  </si>
  <si>
    <t>calfct1</t>
  </si>
  <si>
    <t>calfct2</t>
  </si>
  <si>
    <t>calfct3</t>
  </si>
  <si>
    <t>sf_data19_primary</t>
  </si>
  <si>
    <t>la_data19_primaryffpol</t>
  </si>
  <si>
    <t>la_data19_primary</t>
  </si>
  <si>
    <t>chi_data19_primary</t>
  </si>
  <si>
    <t>chi_data19_primarypol</t>
  </si>
  <si>
    <t>la_data19_primaryuty</t>
  </si>
  <si>
    <t>bos_data19_primary</t>
  </si>
  <si>
    <t>`</t>
  </si>
  <si>
    <t>phi_data19_primary</t>
  </si>
  <si>
    <t>sd_data19_primary</t>
  </si>
  <si>
    <t>hou_data19_primarypol</t>
  </si>
  <si>
    <t>chi_data19_primaryff</t>
  </si>
  <si>
    <t>hou_data19_primary</t>
  </si>
  <si>
    <t>Houston Firefighers</t>
  </si>
  <si>
    <t>hou_data19_primaryff</t>
  </si>
  <si>
    <t> </t>
  </si>
  <si>
    <t>dal_data19_primary</t>
  </si>
  <si>
    <t>dal_data19_primaryffpol</t>
  </si>
  <si>
    <t>aus_data19_primary</t>
  </si>
  <si>
    <t>sea_data19_primary</t>
  </si>
  <si>
    <t>phx_data19_primary</t>
  </si>
  <si>
    <t>den_data19_primary</t>
  </si>
  <si>
    <t>nsh_data19_primary</t>
  </si>
  <si>
    <t>atl_data19_primary</t>
  </si>
  <si>
    <t>atl_data19_primarypol</t>
  </si>
  <si>
    <t>atl_data19_primaryff</t>
  </si>
  <si>
    <t>clt_data19_primaryff</t>
  </si>
  <si>
    <t>New York</t>
  </si>
  <si>
    <t>nyc_data19_primaryedu</t>
  </si>
  <si>
    <t>nyc_data19_primary</t>
  </si>
  <si>
    <t>nyc_data19_primaryff</t>
  </si>
  <si>
    <t>nyc_data19_primarypol</t>
  </si>
  <si>
    <t>Chicago Public School Teachers</t>
  </si>
  <si>
    <t>chi_data19_primaryedu</t>
  </si>
  <si>
    <t>New York City Teachers Retirement System</t>
  </si>
  <si>
    <t>nyc_data19_primaryedu2</t>
  </si>
  <si>
    <t>reqcon employee</t>
  </si>
  <si>
    <t>TotMembership</t>
  </si>
  <si>
    <t>AdministeringGovt</t>
  </si>
  <si>
    <t>beneficiaries_ServiceRetirees</t>
  </si>
  <si>
    <t>beneficiaries_survivors</t>
  </si>
  <si>
    <t>beneficiaries_SpousalSurvivors</t>
  </si>
  <si>
    <t>beneficiaries_other</t>
  </si>
  <si>
    <t>InactiveVestedMembers</t>
  </si>
  <si>
    <t>InactiveNonVested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</si>
</sst>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sz val="11"/>
      <color rgb="FF000000"/>
      <name val="Calibri"/>
      <family val="2"/>
    </font>
    <font>
      <sz val="11"/>
      <name val="Calibri"/>
    </font>
    <font>
      <sz val="11"/>
      <color rgb="FF000000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23" fillId="0" borderId="0" xfId="0" applyFont="1"/>
    <xf numFmtId="0" fontId="24" fillId="0" borderId="0" xfId="0" applyFont="1"/>
    <xf numFmtId="0" fontId="0" fillId="34" borderId="0" xfId="0" applyFill="1"/>
    <xf numFmtId="11" fontId="23" fillId="0" borderId="0" xfId="0" applyNumberFormat="1" applyFont="1"/>
    <xf numFmtId="0" fontId="0" fillId="35" borderId="0" xfId="0" applyFill="1"/>
    <xf numFmtId="0" fontId="23" fillId="35" borderId="0" xfId="0" applyFont="1" applyFill="1"/>
    <xf numFmtId="0" fontId="24" fillId="36" borderId="0" xfId="0" applyFont="1" applyFill="1"/>
    <xf numFmtId="0" fontId="23" fillId="37" borderId="0" xfId="0" applyFont="1" applyFill="1"/>
    <xf numFmtId="0" fontId="25" fillId="37" borderId="0" xfId="0" applyFont="1" applyFill="1"/>
    <xf numFmtId="0" fontId="23" fillId="34" borderId="0" xfId="0" applyFont="1" applyFill="1"/>
    <xf numFmtId="43" fontId="23" fillId="0" borderId="0" xfId="42" applyFont="1"/>
    <xf numFmtId="0" fontId="0" fillId="38" borderId="0" xfId="0" applyFill="1"/>
    <xf numFmtId="0" fontId="23" fillId="39" borderId="0" xfId="0" applyFont="1" applyFill="1"/>
    <xf numFmtId="49" fontId="23" fillId="0" borderId="0" xfId="0" applyNumberFormat="1" applyFont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Gant" id="{21A611DA-F04F-49D6-9ECC-DFFAB5B9DC30}" userId="S::agant@mit.edu::bd092711-1441-451f-bcf0-0a117e6aec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6" dT="2022-03-09T18:09:10.98" personId="{21A611DA-F04F-49D6-9ECC-DFFAB5B9DC30}" id="{F8143B78-92A2-450F-A6AB-2777D5F4C5FF}">
    <text>https://www.austintexas.gov/edims/document.cfm?id=365819</text>
  </threadedComment>
  <threadedComment ref="S19" dT="2022-03-09T18:12:58.71" personId="{21A611DA-F04F-49D6-9ECC-DFFAB5B9DC30}" id="{04192FD4-CEBD-4585-B38D-86D552CCF828}">
    <text>https://www.zippia.com/city-of-baltimore-careers-778906/#</text>
  </threadedComment>
  <threadedComment ref="S22" dT="2022-03-09T18:12:58.71" personId="{21A611DA-F04F-49D6-9ECC-DFFAB5B9DC30}" id="{AC2F6B84-C631-4298-BEE5-EB003508C9EF}">
    <text>https://www.zippia.com/city-of-baltimore-careers-778906/#</text>
  </threadedComment>
  <threadedComment ref="S34" dT="2022-03-09T17:38:39.38" personId="{21A611DA-F04F-49D6-9ECC-DFFAB5B9DC30}" id="{BED81061-3961-4DCB-83D7-32688EAFAB46}">
    <text>https://www.boston.gov/departments/diversity/city-boston-employee-demographics-dashboard</text>
  </threadedComment>
  <threadedComment ref="S56" dT="2022-03-09T17:45:14.77" personId="{21A611DA-F04F-49D6-9ECC-DFFAB5B9DC30}" id="{31F64716-0328-497C-9497-B5CAB72EDB0D}">
    <text>https://informationportal.igchicago.org/city-of-chicago-active-employees-demographic/</text>
  </threadedComment>
  <threadedComment ref="S79" dT="2022-03-09T18:00:56.14" personId="{21A611DA-F04F-49D6-9ECC-DFFAB5B9DC30}" id="{894C9698-89A8-44AC-801B-FAB57EE359F8}">
    <text>https://www.zippia.com/denver-public-schools-careers-723137/#</text>
  </threadedComment>
  <threadedComment ref="S156" dT="2022-03-09T17:41:32.02" personId="{21A611DA-F04F-49D6-9ECC-DFFAB5B9DC30}" id="{7026D484-3CAA-4D1B-AE02-646B3F9223D2}">
    <text>https://www1.nyc.gov/assets/dcas/downloads/pdf/reports/workforce_profile_report_fy_2015.pdf</text>
  </threadedComment>
  <threadedComment ref="S157" dT="2022-03-09T17:41:32.02" personId="{21A611DA-F04F-49D6-9ECC-DFFAB5B9DC30}" id="{998FFA77-1ED1-42C4-992B-DA40D66F252F}">
    <text>https://www1.nyc.gov/assets/dcas/downloads/pdf/reports/workforce_profile_report_fy_2015.pdf</text>
  </threadedComment>
  <threadedComment ref="S158" dT="2022-03-09T17:41:32.02" personId="{21A611DA-F04F-49D6-9ECC-DFFAB5B9DC30}" id="{63DFF2C8-1F5D-4BEF-9E24-4972B307FEFD}">
    <text>https://www1.nyc.gov/assets/dcas/downloads/pdf/reports/workforce_profile_report_fy_2015.pdf</text>
  </threadedComment>
  <threadedComment ref="S159" dT="2022-03-09T17:41:32.02" personId="{21A611DA-F04F-49D6-9ECC-DFFAB5B9DC30}" id="{A0FDC269-8C70-48C9-8FA2-A2D03D765C21}">
    <text>https://www1.nyc.gov/assets/dcas/downloads/pdf/reports/workforce_profile_report_fy_2015.pdf</text>
  </threadedComment>
  <threadedComment ref="S160" dT="2022-03-09T17:41:32.02" personId="{21A611DA-F04F-49D6-9ECC-DFFAB5B9DC30}" id="{3AB8E3C4-3FFE-4C6F-8C34-0F8377E3DCAC}">
    <text>https://www1.nyc.gov/assets/dcas/downloads/pdf/reports/workforce_profile_report_fy_2015.pdf</text>
  </threadedComment>
  <threadedComment ref="S161" dT="2022-03-09T17:41:32.02" personId="{21A611DA-F04F-49D6-9ECC-DFFAB5B9DC30}" id="{1B463CB3-3609-4190-A2B7-9A32196E2339}">
    <text>https://www1.nyc.gov/assets/dcas/downloads/pdf/reports/workforce_profile_report_fy_2015.pdf</text>
  </threadedComment>
  <threadedComment ref="S162" dT="2022-03-09T17:41:32.02" personId="{21A611DA-F04F-49D6-9ECC-DFFAB5B9DC30}" id="{13D32150-585E-4CC4-B312-A1858188869F}">
    <text>https://www1.nyc.gov/assets/dcas/downloads/pdf/reports/workforce_profile_report_fy_2015.pdf</text>
  </threadedComment>
  <threadedComment ref="S163" dT="2022-03-09T17:41:32.02" personId="{21A611DA-F04F-49D6-9ECC-DFFAB5B9DC30}" id="{91BDCD43-85E8-4503-BFF9-FBFA9B34B564}">
    <text>https://www1.nyc.gov/assets/dcas/downloads/pdf/reports/workforce_profile_report_fy_2015.pdf</text>
  </threadedComment>
  <threadedComment ref="S164" dT="2022-03-09T17:41:32.02" personId="{21A611DA-F04F-49D6-9ECC-DFFAB5B9DC30}" id="{3B96208F-CB56-4C33-9422-93FF550276EC}">
    <text>https://www1.nyc.gov/assets/dcas/downloads/pdf/reports/workforce_profile_report_fy_2015.pdf</text>
  </threadedComment>
  <threadedComment ref="S165" dT="2022-03-09T17:41:32.02" personId="{21A611DA-F04F-49D6-9ECC-DFFAB5B9DC30}" id="{FF0E7BEB-B2C8-4451-9A24-AB89893DD602}">
    <text>https://www1.nyc.gov/assets/dcas/downloads/pdf/reports/workforce_profile_report_fy_2015.pdf</text>
  </threadedComment>
  <threadedComment ref="S166" dT="2022-03-09T17:41:32.02" personId="{21A611DA-F04F-49D6-9ECC-DFFAB5B9DC30}" id="{ABB5F725-8F24-47E6-8FB0-CBBF626D9095}">
    <text>https://www1.nyc.gov/assets/dcas/downloads/pdf/reports/workforce_profile_report_fy_2015.pdf</text>
  </threadedComment>
  <threadedComment ref="S167" dT="2022-03-09T17:41:32.02" personId="{21A611DA-F04F-49D6-9ECC-DFFAB5B9DC30}" id="{1B3BEE3A-A9DD-46BA-BCDF-7EF280AADBD6}">
    <text>https://www1.nyc.gov/assets/dcas/downloads/pdf/reports/workforce_profile_report_fy_2015.pdf</text>
  </threadedComment>
  <threadedComment ref="S168" dT="2022-03-09T17:41:32.02" personId="{21A611DA-F04F-49D6-9ECC-DFFAB5B9DC30}" id="{3E377771-CEAE-423C-8F06-3AF1AF1F050F}">
    <text>https://www1.nyc.gov/assets/dcas/downloads/pdf/reports/workforce_profile_report_fy_2015.pdf</text>
  </threadedComment>
  <threadedComment ref="S169" dT="2022-03-09T17:41:32.02" personId="{21A611DA-F04F-49D6-9ECC-DFFAB5B9DC30}" id="{AD632420-B378-4C28-A8BC-45DD151AA9DE}">
    <text>https://www1.nyc.gov/assets/dcas/downloads/pdf/reports/workforce_profile_report_fy_2015.pdf</text>
  </threadedComment>
  <threadedComment ref="S170" dT="2022-03-09T17:41:32.02" personId="{21A611DA-F04F-49D6-9ECC-DFFAB5B9DC30}" id="{E8A2CAE8-A0B6-4978-BD2F-451D4CC6A1BB}">
    <text>https://www1.nyc.gov/assets/dcas/downloads/pdf/reports/workforce_profile_report_fy_2015.pdf</text>
  </threadedComment>
  <threadedComment ref="S200" dT="2022-03-09T17:46:22.68" personId="{21A611DA-F04F-49D6-9ECC-DFFAB5B9DC30}" id="{E5FC9D9F-624E-4954-8A5C-4C4E2D6DC0E6}">
    <text>https://www.sandiego.gov/sites/default/files/19-001_citywide_human_capital_fact_book.pdf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16" dT="2022-03-09T18:09:10.98" personId="{21A611DA-F04F-49D6-9ECC-DFFAB5B9DC30}" id="{23EBBA1A-4475-4E4F-A42C-4E31D835190B}">
    <text>https://www.austintexas.gov/edims/document.cfm?id=365819</text>
  </threadedComment>
  <threadedComment ref="S19" dT="2022-03-09T18:12:58.71" personId="{21A611DA-F04F-49D6-9ECC-DFFAB5B9DC30}" id="{52862B36-3208-4E7D-B749-4B770B87469E}">
    <text>https://www.zippia.com/city-of-baltimore-careers-778906/#</text>
  </threadedComment>
  <threadedComment ref="S22" dT="2022-03-09T18:12:58.71" personId="{21A611DA-F04F-49D6-9ECC-DFFAB5B9DC30}" id="{EE6B4967-EA77-4A4C-8700-D8F05EC69FDA}">
    <text>https://www.zippia.com/city-of-baltimore-careers-778906/#</text>
  </threadedComment>
  <threadedComment ref="S34" dT="2022-03-09T17:38:39.38" personId="{21A611DA-F04F-49D6-9ECC-DFFAB5B9DC30}" id="{528E11A4-DAFB-4100-AE83-F551E065B0BF}">
    <text>https://www.boston.gov/departments/diversity/city-boston-employee-demographics-dashboard</text>
  </threadedComment>
  <threadedComment ref="S56" dT="2022-03-09T17:45:14.77" personId="{21A611DA-F04F-49D6-9ECC-DFFAB5B9DC30}" id="{1F1A0E27-3DD5-4972-A80B-D29F0061165F}">
    <text>https://informationportal.igchicago.org/city-of-chicago-active-employees-demographic/</text>
  </threadedComment>
  <threadedComment ref="S79" dT="2022-03-09T18:00:56.14" personId="{21A611DA-F04F-49D6-9ECC-DFFAB5B9DC30}" id="{8694F5B0-1E52-4284-ABF1-12BC2C8FBF12}">
    <text>https://www.zippia.com/denver-public-schools-careers-723137/#</text>
  </threadedComment>
  <threadedComment ref="S156" dT="2022-03-09T17:41:32.02" personId="{21A611DA-F04F-49D6-9ECC-DFFAB5B9DC30}" id="{26DA22D2-B495-428A-BCA9-6514FB1A2AF0}">
    <text>https://www1.nyc.gov/assets/dcas/downloads/pdf/reports/workforce_profile_report_fy_2015.pdf</text>
  </threadedComment>
  <threadedComment ref="S157" dT="2022-03-09T17:41:32.02" personId="{21A611DA-F04F-49D6-9ECC-DFFAB5B9DC30}" id="{85EE3196-E2B2-4C90-99CD-E572ED402D78}">
    <text>https://www1.nyc.gov/assets/dcas/downloads/pdf/reports/workforce_profile_report_fy_2015.pdf</text>
  </threadedComment>
  <threadedComment ref="S158" dT="2022-03-09T17:41:32.02" personId="{21A611DA-F04F-49D6-9ECC-DFFAB5B9DC30}" id="{1F6A6422-8AE4-46BE-985E-020745821DCC}">
    <text>https://www1.nyc.gov/assets/dcas/downloads/pdf/reports/workforce_profile_report_fy_2015.pdf</text>
  </threadedComment>
  <threadedComment ref="S159" dT="2022-03-09T17:41:32.02" personId="{21A611DA-F04F-49D6-9ECC-DFFAB5B9DC30}" id="{CB615FA1-741B-4425-8DD7-25348207A6A4}">
    <text>https://www1.nyc.gov/assets/dcas/downloads/pdf/reports/workforce_profile_report_fy_2015.pdf</text>
  </threadedComment>
  <threadedComment ref="S160" dT="2022-03-09T17:41:32.02" personId="{21A611DA-F04F-49D6-9ECC-DFFAB5B9DC30}" id="{CBC024F4-1A0E-41C9-BF43-BB281EC1BCCB}">
    <text>https://www1.nyc.gov/assets/dcas/downloads/pdf/reports/workforce_profile_report_fy_2015.pdf</text>
  </threadedComment>
  <threadedComment ref="S161" dT="2022-03-09T17:41:32.02" personId="{21A611DA-F04F-49D6-9ECC-DFFAB5B9DC30}" id="{371D8B36-3873-4F84-A786-4D087BCC12B7}">
    <text>https://www1.nyc.gov/assets/dcas/downloads/pdf/reports/workforce_profile_report_fy_2015.pdf</text>
  </threadedComment>
  <threadedComment ref="S162" dT="2022-03-09T17:41:32.02" personId="{21A611DA-F04F-49D6-9ECC-DFFAB5B9DC30}" id="{3AF63824-3BC0-49C9-B686-BB92A7E459EA}">
    <text>https://www1.nyc.gov/assets/dcas/downloads/pdf/reports/workforce_profile_report_fy_2015.pdf</text>
  </threadedComment>
  <threadedComment ref="S163" dT="2022-03-09T17:41:32.02" personId="{21A611DA-F04F-49D6-9ECC-DFFAB5B9DC30}" id="{49E51F1A-716B-4D88-BB7E-C0C9DF158B98}">
    <text>https://www1.nyc.gov/assets/dcas/downloads/pdf/reports/workforce_profile_report_fy_2015.pdf</text>
  </threadedComment>
  <threadedComment ref="S164" dT="2022-03-09T17:41:32.02" personId="{21A611DA-F04F-49D6-9ECC-DFFAB5B9DC30}" id="{D235F1D9-CC31-4D50-92CA-F08D84AA80FC}">
    <text>https://www1.nyc.gov/assets/dcas/downloads/pdf/reports/workforce_profile_report_fy_2015.pdf</text>
  </threadedComment>
  <threadedComment ref="S165" dT="2022-03-09T17:41:32.02" personId="{21A611DA-F04F-49D6-9ECC-DFFAB5B9DC30}" id="{D810FEE4-200D-4A6C-9FB7-6F0317EF46DD}">
    <text>https://www1.nyc.gov/assets/dcas/downloads/pdf/reports/workforce_profile_report_fy_2015.pdf</text>
  </threadedComment>
  <threadedComment ref="S166" dT="2022-03-09T17:41:32.02" personId="{21A611DA-F04F-49D6-9ECC-DFFAB5B9DC30}" id="{F07B9C2E-A733-4267-9093-2E3A8E66C7B4}">
    <text>https://www1.nyc.gov/assets/dcas/downloads/pdf/reports/workforce_profile_report_fy_2015.pdf</text>
  </threadedComment>
  <threadedComment ref="S167" dT="2022-03-09T17:41:32.02" personId="{21A611DA-F04F-49D6-9ECC-DFFAB5B9DC30}" id="{83BE69D5-6AA5-4063-BCC2-63EA5A3D8F5F}">
    <text>https://www1.nyc.gov/assets/dcas/downloads/pdf/reports/workforce_profile_report_fy_2015.pdf</text>
  </threadedComment>
  <threadedComment ref="S168" dT="2022-03-09T17:41:32.02" personId="{21A611DA-F04F-49D6-9ECC-DFFAB5B9DC30}" id="{D01066BD-410D-442A-BBB9-37CF7A1B5BA9}">
    <text>https://www1.nyc.gov/assets/dcas/downloads/pdf/reports/workforce_profile_report_fy_2015.pdf</text>
  </threadedComment>
  <threadedComment ref="S169" dT="2022-03-09T17:41:32.02" personId="{21A611DA-F04F-49D6-9ECC-DFFAB5B9DC30}" id="{B1C95E7E-7B32-4773-BD92-ADAD15BB56CD}">
    <text>https://www1.nyc.gov/assets/dcas/downloads/pdf/reports/workforce_profile_report_fy_2015.pdf</text>
  </threadedComment>
  <threadedComment ref="S170" dT="2022-03-09T17:41:32.02" personId="{21A611DA-F04F-49D6-9ECC-DFFAB5B9DC30}" id="{CB5B01A7-3BD6-4AAE-B31D-5FDB12527C66}">
    <text>https://www1.nyc.gov/assets/dcas/downloads/pdf/reports/workforce_profile_report_fy_2015.pdf</text>
  </threadedComment>
  <threadedComment ref="S200" dT="2022-03-09T17:46:22.68" personId="{21A611DA-F04F-49D6-9ECC-DFFAB5B9DC30}" id="{05A0FF4D-6F66-48B3-8DCC-A9079B719D5C}">
    <text>https://www.sandiego.gov/sites/default/files/19-001_citywide_human_capital_fact_book.pdf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73B4-F5A8-4FD6-8A9E-A3A035F602BE}">
  <sheetPr filterMode="1"/>
  <dimension ref="A1:BG236"/>
  <sheetViews>
    <sheetView tabSelected="1" zoomScale="160" zoomScaleNormal="160" workbookViewId="0">
      <pane xSplit="1" topLeftCell="B1" activePane="topRight" state="frozen"/>
      <selection pane="topRight" activeCell="H1" sqref="H1:H1048576"/>
    </sheetView>
  </sheetViews>
  <sheetFormatPr defaultRowHeight="15"/>
  <cols>
    <col min="2" max="2" width="14" customWidth="1"/>
    <col min="3" max="3" width="3.28515625" style="16" customWidth="1"/>
    <col min="4" max="4" width="5" customWidth="1"/>
    <col min="5" max="5" width="11.42578125" customWidth="1"/>
    <col min="6" max="6" width="6.28515625" customWidth="1"/>
    <col min="7" max="7" width="9.140625" customWidth="1"/>
    <col min="8" max="8" width="9.85546875" customWidth="1"/>
    <col min="12" max="12" width="13.28515625" bestFit="1" customWidth="1"/>
  </cols>
  <sheetData>
    <row r="1" spans="1:59">
      <c r="A1" s="2" t="s">
        <v>0</v>
      </c>
      <c r="B1" s="2" t="s">
        <v>1</v>
      </c>
      <c r="C1" s="1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hidden="1">
      <c r="A2" s="2" t="s">
        <v>59</v>
      </c>
      <c r="B2" t="s">
        <v>60</v>
      </c>
      <c r="C2" s="16" t="s">
        <v>61</v>
      </c>
      <c r="D2" s="2" t="s">
        <v>62</v>
      </c>
      <c r="E2" s="2" t="s">
        <v>63</v>
      </c>
      <c r="F2">
        <v>184</v>
      </c>
      <c r="G2">
        <v>422300</v>
      </c>
      <c r="H2">
        <v>352000</v>
      </c>
      <c r="I2">
        <v>0.03</v>
      </c>
      <c r="J2">
        <v>6.5000000000000002E-2</v>
      </c>
      <c r="K2" s="11">
        <v>0.03</v>
      </c>
      <c r="L2">
        <v>1912.942</v>
      </c>
      <c r="M2">
        <v>14</v>
      </c>
      <c r="O2">
        <v>770</v>
      </c>
      <c r="P2">
        <v>136.63900000000001</v>
      </c>
      <c r="Q2">
        <v>42.079000000000001</v>
      </c>
    </row>
    <row r="3" spans="1:59" hidden="1">
      <c r="A3" s="2" t="s">
        <v>59</v>
      </c>
      <c r="B3" s="2" t="s">
        <v>60</v>
      </c>
      <c r="C3" s="15" t="s">
        <v>64</v>
      </c>
      <c r="D3" s="2" t="s">
        <v>62</v>
      </c>
      <c r="E3" s="2" t="s">
        <v>65</v>
      </c>
      <c r="F3" s="2">
        <v>184</v>
      </c>
      <c r="G3" s="11"/>
      <c r="H3" s="11"/>
      <c r="I3" s="11">
        <v>0.03</v>
      </c>
      <c r="J3" s="11">
        <v>7.0000000000000007E-2</v>
      </c>
      <c r="K3" s="11">
        <v>0.03</v>
      </c>
      <c r="L3" s="11"/>
      <c r="M3" s="11"/>
      <c r="N3" s="11"/>
      <c r="O3" s="11"/>
      <c r="P3" s="11"/>
      <c r="Q3" s="11"/>
      <c r="R3" s="11"/>
      <c r="S3" s="2"/>
      <c r="T3" s="2"/>
      <c r="U3" s="2"/>
      <c r="V3" s="2"/>
      <c r="W3" s="2"/>
      <c r="X3" s="2"/>
      <c r="Y3" s="2"/>
      <c r="Z3" s="2"/>
      <c r="AA3" s="2"/>
    </row>
    <row r="4" spans="1:59">
      <c r="A4" s="2" t="s">
        <v>59</v>
      </c>
      <c r="B4" s="2" t="s">
        <v>60</v>
      </c>
      <c r="C4" s="15" t="s">
        <v>66</v>
      </c>
      <c r="D4" s="2" t="s">
        <v>62</v>
      </c>
      <c r="E4" s="2" t="s">
        <v>67</v>
      </c>
      <c r="F4" s="2">
        <v>184</v>
      </c>
      <c r="G4" s="2">
        <v>436800</v>
      </c>
      <c r="H4" s="2">
        <v>386600</v>
      </c>
      <c r="I4" s="2">
        <v>0.03</v>
      </c>
      <c r="J4" s="11">
        <v>7.0000000000000007E-2</v>
      </c>
      <c r="K4" s="11">
        <v>0.03</v>
      </c>
      <c r="L4" s="2">
        <v>1374.425</v>
      </c>
      <c r="M4" s="2">
        <v>10</v>
      </c>
      <c r="N4" s="3">
        <v>0</v>
      </c>
      <c r="O4" s="2">
        <v>704</v>
      </c>
      <c r="P4" s="2">
        <v>137.44300000000001</v>
      </c>
      <c r="Q4" s="2">
        <v>46.692</v>
      </c>
      <c r="R4" s="11"/>
      <c r="S4" s="2"/>
      <c r="T4" s="2"/>
      <c r="U4" s="2"/>
      <c r="V4" s="2"/>
      <c r="W4" s="2"/>
      <c r="X4" s="2"/>
      <c r="Y4" s="2"/>
      <c r="Z4" s="2"/>
      <c r="AA4" s="2"/>
    </row>
    <row r="5" spans="1:59" hidden="1">
      <c r="A5" s="2" t="s">
        <v>68</v>
      </c>
      <c r="B5" t="s">
        <v>69</v>
      </c>
      <c r="C5" s="16" t="s">
        <v>61</v>
      </c>
      <c r="D5" s="2" t="s">
        <v>70</v>
      </c>
      <c r="E5" s="2" t="s">
        <v>71</v>
      </c>
      <c r="F5">
        <v>161</v>
      </c>
      <c r="G5">
        <v>1865937.5279999999</v>
      </c>
      <c r="H5">
        <v>1269985.3799999999</v>
      </c>
      <c r="I5">
        <v>2.2499999999999999E-2</v>
      </c>
      <c r="J5">
        <v>7.2499999999999995E-2</v>
      </c>
      <c r="K5" s="11">
        <v>0.03</v>
      </c>
      <c r="L5">
        <v>188916.06200000001</v>
      </c>
      <c r="M5">
        <v>3830</v>
      </c>
      <c r="O5">
        <v>3912</v>
      </c>
      <c r="P5">
        <v>47.889000000000003</v>
      </c>
      <c r="Q5">
        <v>30.3</v>
      </c>
      <c r="R5">
        <v>0.25519999999999998</v>
      </c>
      <c r="S5" s="6">
        <v>0.53100000000000003</v>
      </c>
      <c r="AB5">
        <v>0.1232</v>
      </c>
    </row>
    <row r="6" spans="1:59" hidden="1">
      <c r="A6" s="2" t="s">
        <v>68</v>
      </c>
      <c r="B6" s="2" t="s">
        <v>69</v>
      </c>
      <c r="C6" s="16" t="s">
        <v>64</v>
      </c>
      <c r="D6" s="2" t="s">
        <v>70</v>
      </c>
      <c r="E6" s="2" t="s">
        <v>72</v>
      </c>
      <c r="F6" s="2">
        <v>161</v>
      </c>
      <c r="G6" s="2">
        <v>1965225</v>
      </c>
      <c r="H6" s="2">
        <v>1336954</v>
      </c>
      <c r="I6" s="2">
        <v>2.2499999999999999E-2</v>
      </c>
      <c r="J6" s="11">
        <v>7.0000000000000007E-2</v>
      </c>
      <c r="K6" s="11">
        <v>0.03</v>
      </c>
      <c r="L6" s="2">
        <v>206005.1</v>
      </c>
      <c r="M6" s="2">
        <v>3936</v>
      </c>
      <c r="N6" s="2">
        <v>27</v>
      </c>
      <c r="O6" s="2">
        <v>3986</v>
      </c>
      <c r="P6" s="2">
        <v>50814</v>
      </c>
      <c r="Q6" s="2">
        <v>32.1</v>
      </c>
      <c r="R6" s="2">
        <v>0.25119999999999998</v>
      </c>
      <c r="S6" s="6">
        <v>0.53100000000000003</v>
      </c>
      <c r="AB6">
        <v>0.1201</v>
      </c>
    </row>
    <row r="7" spans="1:59">
      <c r="A7" s="2" t="s">
        <v>68</v>
      </c>
      <c r="B7" s="2" t="s">
        <v>69</v>
      </c>
      <c r="C7" s="15" t="s">
        <v>66</v>
      </c>
      <c r="D7" s="2" t="s">
        <v>70</v>
      </c>
      <c r="E7" s="2" t="s">
        <v>73</v>
      </c>
      <c r="F7" s="2">
        <v>161</v>
      </c>
      <c r="G7" s="2">
        <v>1893073</v>
      </c>
      <c r="H7" s="2">
        <v>1314030</v>
      </c>
      <c r="I7" s="2">
        <v>2.2499999999999999E-2</v>
      </c>
      <c r="J7" s="11">
        <v>7.0000000000000007E-2</v>
      </c>
      <c r="K7" s="11">
        <v>0.03</v>
      </c>
      <c r="L7" s="2">
        <v>188718.8</v>
      </c>
      <c r="M7" s="2">
        <v>3674</v>
      </c>
      <c r="N7" s="3">
        <v>19</v>
      </c>
      <c r="O7" s="2">
        <v>3981</v>
      </c>
      <c r="P7" s="2">
        <v>49.87</v>
      </c>
      <c r="Q7" s="2">
        <v>31.175999999999998</v>
      </c>
      <c r="R7" s="2">
        <v>0.25840000000000002</v>
      </c>
      <c r="S7" s="6">
        <v>0.53100000000000003</v>
      </c>
      <c r="T7" s="2"/>
      <c r="U7" s="2"/>
      <c r="V7" s="2"/>
      <c r="W7" s="2"/>
      <c r="X7" s="2"/>
      <c r="Y7" s="2"/>
      <c r="Z7" s="2"/>
      <c r="AA7" s="2"/>
      <c r="AB7">
        <v>0.1236</v>
      </c>
    </row>
    <row r="8" spans="1:59">
      <c r="A8" s="2" t="s">
        <v>68</v>
      </c>
      <c r="B8" s="2" t="s">
        <v>74</v>
      </c>
      <c r="C8" s="15" t="s">
        <v>66</v>
      </c>
      <c r="D8" s="2" t="s">
        <v>75</v>
      </c>
      <c r="E8" s="2" t="s">
        <v>76</v>
      </c>
      <c r="F8" s="2">
        <v>205</v>
      </c>
      <c r="G8" s="2">
        <v>979792.7</v>
      </c>
      <c r="H8" s="2">
        <v>727344</v>
      </c>
      <c r="I8" s="2">
        <v>2.2499999999999999E-2</v>
      </c>
      <c r="J8" s="2">
        <v>7.4099999999999999E-2</v>
      </c>
      <c r="K8" s="11">
        <v>0.03</v>
      </c>
      <c r="L8" s="2">
        <v>51938.01</v>
      </c>
      <c r="M8" s="2">
        <v>951</v>
      </c>
      <c r="N8" s="3">
        <v>26</v>
      </c>
      <c r="O8" s="2">
        <v>1086</v>
      </c>
      <c r="P8" s="2">
        <v>52.396000000000001</v>
      </c>
      <c r="Q8" s="2">
        <v>45.874000000000002</v>
      </c>
      <c r="R8" s="2">
        <v>0.47420000000000001</v>
      </c>
      <c r="S8" s="2"/>
      <c r="T8" s="2"/>
      <c r="U8" s="2"/>
      <c r="V8" s="2"/>
      <c r="W8" s="2"/>
      <c r="X8" s="2"/>
      <c r="Y8" s="2"/>
      <c r="Z8" s="2"/>
      <c r="AA8" s="2"/>
      <c r="AB8">
        <v>0.23630000000000001</v>
      </c>
    </row>
    <row r="9" spans="1:59" hidden="1">
      <c r="A9" s="2" t="s">
        <v>68</v>
      </c>
      <c r="B9" t="s">
        <v>74</v>
      </c>
      <c r="C9" s="16" t="s">
        <v>61</v>
      </c>
      <c r="D9" s="2" t="s">
        <v>75</v>
      </c>
      <c r="E9" s="2" t="s">
        <v>77</v>
      </c>
      <c r="F9">
        <v>205</v>
      </c>
      <c r="G9">
        <v>852872.82400000002</v>
      </c>
      <c r="H9">
        <v>718133</v>
      </c>
      <c r="I9">
        <v>2.2499999999999999E-2</v>
      </c>
      <c r="J9">
        <v>7.4099999999999999E-2</v>
      </c>
      <c r="K9" s="11">
        <v>0.03</v>
      </c>
      <c r="L9">
        <v>49085.321000000004</v>
      </c>
      <c r="M9">
        <v>928</v>
      </c>
      <c r="N9" s="2">
        <v>12</v>
      </c>
      <c r="O9">
        <v>988</v>
      </c>
      <c r="P9">
        <v>52.518000000000001</v>
      </c>
      <c r="Q9">
        <v>47.468000000000004</v>
      </c>
      <c r="R9">
        <v>0.31830000000000003</v>
      </c>
      <c r="AB9">
        <v>0.24303</v>
      </c>
    </row>
    <row r="10" spans="1:59" hidden="1">
      <c r="A10" s="2" t="s">
        <v>68</v>
      </c>
      <c r="B10" s="2" t="s">
        <v>74</v>
      </c>
      <c r="C10" s="16" t="s">
        <v>64</v>
      </c>
      <c r="D10" s="2" t="s">
        <v>75</v>
      </c>
      <c r="E10" s="2" t="s">
        <v>78</v>
      </c>
      <c r="F10" s="2">
        <v>205</v>
      </c>
      <c r="G10" s="2">
        <v>996909.2</v>
      </c>
      <c r="H10" s="2">
        <v>716418</v>
      </c>
      <c r="I10" s="2">
        <v>2.2499999999999999E-2</v>
      </c>
      <c r="J10" s="2">
        <v>7.4099999999999999E-2</v>
      </c>
      <c r="K10" s="11">
        <v>0.03</v>
      </c>
      <c r="L10" s="2">
        <v>51562.2</v>
      </c>
      <c r="M10" s="2">
        <v>888</v>
      </c>
      <c r="N10" s="2">
        <v>940</v>
      </c>
      <c r="O10" s="2">
        <v>1104</v>
      </c>
      <c r="P10" s="2">
        <v>57.85</v>
      </c>
      <c r="Q10" s="2">
        <v>46.811999999999998</v>
      </c>
      <c r="R10" s="2">
        <v>0.53580000000000005</v>
      </c>
      <c r="AB10">
        <v>0.25635999999999998</v>
      </c>
    </row>
    <row r="11" spans="1:59" hidden="1">
      <c r="A11" s="2" t="s">
        <v>68</v>
      </c>
      <c r="B11" t="s">
        <v>79</v>
      </c>
      <c r="C11" s="16" t="s">
        <v>61</v>
      </c>
      <c r="D11" s="2" t="s">
        <v>80</v>
      </c>
      <c r="E11" s="2" t="s">
        <v>81</v>
      </c>
      <c r="F11">
        <v>173</v>
      </c>
      <c r="G11">
        <v>1297470.523</v>
      </c>
      <c r="H11">
        <v>1130389</v>
      </c>
      <c r="J11">
        <v>7.4099999999999999E-2</v>
      </c>
      <c r="K11" s="11">
        <v>0.03</v>
      </c>
      <c r="L11">
        <v>90948</v>
      </c>
      <c r="M11">
        <v>1746</v>
      </c>
      <c r="O11">
        <v>1546</v>
      </c>
      <c r="P11">
        <v>51.837000000000003</v>
      </c>
      <c r="Q11">
        <v>40.966999999999999</v>
      </c>
      <c r="R11">
        <v>0.23369999999999999</v>
      </c>
      <c r="AB11">
        <v>0.21836</v>
      </c>
    </row>
    <row r="12" spans="1:59" hidden="1">
      <c r="A12" s="2" t="s">
        <v>68</v>
      </c>
      <c r="B12" s="2" t="s">
        <v>79</v>
      </c>
      <c r="C12" s="16" t="s">
        <v>64</v>
      </c>
      <c r="D12" s="2" t="s">
        <v>80</v>
      </c>
      <c r="E12" s="2" t="s">
        <v>82</v>
      </c>
      <c r="F12" s="2">
        <v>173</v>
      </c>
      <c r="G12" s="2">
        <v>1546121</v>
      </c>
      <c r="H12" s="2">
        <v>1150481</v>
      </c>
      <c r="I12" s="2">
        <v>2.2499999999999999E-2</v>
      </c>
      <c r="J12" s="2">
        <v>7.4099999999999999E-2</v>
      </c>
      <c r="K12" s="11">
        <v>0.03</v>
      </c>
      <c r="L12" s="2">
        <v>102498.5</v>
      </c>
      <c r="M12" s="2">
        <v>1678</v>
      </c>
      <c r="N12" s="2">
        <v>35</v>
      </c>
      <c r="O12" s="2">
        <v>1689</v>
      </c>
      <c r="P12" s="2">
        <v>61.77</v>
      </c>
      <c r="Q12" s="2">
        <v>43.697000000000003</v>
      </c>
      <c r="R12" s="2">
        <v>0.3931</v>
      </c>
      <c r="AB12">
        <v>0.23522000000000001</v>
      </c>
    </row>
    <row r="13" spans="1:59">
      <c r="A13" s="2" t="s">
        <v>68</v>
      </c>
      <c r="B13" s="2" t="s">
        <v>79</v>
      </c>
      <c r="C13" s="15" t="s">
        <v>66</v>
      </c>
      <c r="D13" s="2" t="s">
        <v>80</v>
      </c>
      <c r="E13" s="2" t="s">
        <v>83</v>
      </c>
      <c r="F13" s="2">
        <v>173</v>
      </c>
      <c r="G13" s="2">
        <v>1498485</v>
      </c>
      <c r="H13" s="2">
        <v>1163140</v>
      </c>
      <c r="I13" s="11">
        <v>2.5000000000000001E-2</v>
      </c>
      <c r="J13" s="2">
        <v>7.4099999999999999E-2</v>
      </c>
      <c r="K13" s="11">
        <v>0.03</v>
      </c>
      <c r="L13" s="2">
        <v>94943.48</v>
      </c>
      <c r="M13" s="2">
        <v>1751</v>
      </c>
      <c r="N13" s="3">
        <v>884</v>
      </c>
      <c r="O13" s="2">
        <v>1662</v>
      </c>
      <c r="P13" s="2">
        <v>54.735999999999997</v>
      </c>
      <c r="Q13" s="2">
        <v>42.640999999999998</v>
      </c>
      <c r="R13" s="2">
        <v>0.36159999999999998</v>
      </c>
      <c r="S13" s="2"/>
      <c r="T13" s="2"/>
      <c r="U13" s="2"/>
      <c r="V13" s="2"/>
      <c r="W13" s="2"/>
      <c r="X13" s="2"/>
      <c r="Y13" s="2"/>
      <c r="Z13" s="2"/>
      <c r="AA13" s="2"/>
      <c r="AB13">
        <v>0.22473000000000001</v>
      </c>
    </row>
    <row r="14" spans="1:59" hidden="1">
      <c r="A14" t="s">
        <v>84</v>
      </c>
      <c r="B14" s="2" t="s">
        <v>85</v>
      </c>
      <c r="C14" s="16" t="s">
        <v>61</v>
      </c>
      <c r="D14" t="s">
        <v>75</v>
      </c>
      <c r="E14" t="s">
        <v>86</v>
      </c>
      <c r="F14" s="2">
        <v>6</v>
      </c>
      <c r="G14" s="2">
        <v>1084534</v>
      </c>
      <c r="H14" s="2">
        <v>954574.8</v>
      </c>
      <c r="I14" s="2">
        <v>2.75E-2</v>
      </c>
      <c r="J14" s="4"/>
      <c r="K14" s="11">
        <v>0.03</v>
      </c>
      <c r="L14" s="2">
        <v>92083.22</v>
      </c>
      <c r="M14" s="2">
        <v>1102</v>
      </c>
      <c r="N14" s="2">
        <v>8</v>
      </c>
      <c r="O14" s="2">
        <v>822</v>
      </c>
      <c r="P14" s="2">
        <v>41.9</v>
      </c>
      <c r="Q14" s="2"/>
      <c r="R14" s="2">
        <v>0.2205</v>
      </c>
      <c r="AB14" s="2">
        <v>0.29520000000000002</v>
      </c>
    </row>
    <row r="15" spans="1:59" hidden="1">
      <c r="A15" t="s">
        <v>84</v>
      </c>
      <c r="B15" s="2" t="s">
        <v>87</v>
      </c>
      <c r="C15" s="16" t="s">
        <v>61</v>
      </c>
      <c r="D15" t="s">
        <v>80</v>
      </c>
      <c r="E15" t="s">
        <v>88</v>
      </c>
      <c r="F15" s="2">
        <v>7</v>
      </c>
      <c r="G15" s="2">
        <v>1185017</v>
      </c>
      <c r="H15" s="2">
        <v>779484.3</v>
      </c>
      <c r="I15" s="11"/>
      <c r="J15" s="4"/>
      <c r="K15" s="11">
        <v>0.03</v>
      </c>
      <c r="L15" s="2">
        <v>162490.6</v>
      </c>
      <c r="M15" s="2">
        <v>1892</v>
      </c>
      <c r="N15" s="2">
        <v>39</v>
      </c>
      <c r="O15" s="2">
        <v>906</v>
      </c>
      <c r="P15" s="2">
        <v>40.5</v>
      </c>
      <c r="Q15" s="2">
        <v>63.5</v>
      </c>
      <c r="R15" s="2">
        <v>0.21312999999999999</v>
      </c>
      <c r="AB15" s="2">
        <v>0.22291</v>
      </c>
    </row>
    <row r="16" spans="1:59" hidden="1">
      <c r="A16" t="s">
        <v>84</v>
      </c>
      <c r="B16" t="s">
        <v>89</v>
      </c>
      <c r="C16" s="16" t="s">
        <v>61</v>
      </c>
      <c r="D16" t="s">
        <v>70</v>
      </c>
      <c r="E16" s="2" t="s">
        <v>90</v>
      </c>
      <c r="F16">
        <v>12</v>
      </c>
      <c r="G16">
        <v>3989600</v>
      </c>
      <c r="H16">
        <v>2695400</v>
      </c>
      <c r="I16">
        <v>2.75E-2</v>
      </c>
      <c r="J16">
        <v>7.4999999999999997E-2</v>
      </c>
      <c r="K16" s="11">
        <v>0.03</v>
      </c>
      <c r="L16">
        <v>664300</v>
      </c>
      <c r="M16">
        <v>9838</v>
      </c>
      <c r="O16">
        <v>6414</v>
      </c>
      <c r="P16">
        <v>67.527000000000001</v>
      </c>
      <c r="Q16">
        <v>30.605</v>
      </c>
      <c r="R16">
        <v>0.19370000000000001</v>
      </c>
      <c r="S16">
        <v>0.61</v>
      </c>
      <c r="AB16">
        <v>0.17460000000000001</v>
      </c>
    </row>
    <row r="17" spans="1:28" hidden="1">
      <c r="A17" s="2" t="s">
        <v>84</v>
      </c>
      <c r="B17" s="2" t="s">
        <v>89</v>
      </c>
      <c r="C17" s="16" t="s">
        <v>64</v>
      </c>
      <c r="D17" s="2" t="s">
        <v>70</v>
      </c>
      <c r="E17" s="2" t="s">
        <v>91</v>
      </c>
      <c r="F17" s="2">
        <v>12</v>
      </c>
      <c r="G17" s="2">
        <v>4701200</v>
      </c>
      <c r="H17" s="2">
        <v>3069200</v>
      </c>
      <c r="I17" s="2">
        <v>2.5000000000000001E-2</v>
      </c>
      <c r="J17" s="2">
        <v>7.0000000000000007E-2</v>
      </c>
      <c r="K17" s="11">
        <v>0.03</v>
      </c>
      <c r="L17" s="2">
        <v>729300</v>
      </c>
      <c r="M17" s="2">
        <v>10138</v>
      </c>
      <c r="N17" s="2">
        <v>1264</v>
      </c>
      <c r="O17" s="2">
        <v>6963</v>
      </c>
      <c r="P17" s="2">
        <v>71.933000000000007</v>
      </c>
      <c r="Q17" s="2">
        <v>32.061999999999998</v>
      </c>
      <c r="R17" s="2">
        <v>0.2102</v>
      </c>
      <c r="S17">
        <v>0.61</v>
      </c>
      <c r="AB17">
        <v>0.1704</v>
      </c>
    </row>
    <row r="18" spans="1:28">
      <c r="A18" s="2" t="s">
        <v>84</v>
      </c>
      <c r="B18" s="2" t="s">
        <v>89</v>
      </c>
      <c r="C18" s="15" t="s">
        <v>66</v>
      </c>
      <c r="D18" s="2" t="s">
        <v>70</v>
      </c>
      <c r="E18" s="2" t="s">
        <v>92</v>
      </c>
      <c r="F18" s="2">
        <v>12</v>
      </c>
      <c r="G18" s="2">
        <v>4487900</v>
      </c>
      <c r="H18" s="2">
        <v>2849000</v>
      </c>
      <c r="I18" s="2">
        <v>2.5000000000000001E-2</v>
      </c>
      <c r="J18" s="2">
        <v>7.0000000000000007E-2</v>
      </c>
      <c r="K18" s="11">
        <v>0.03</v>
      </c>
      <c r="L18" s="2">
        <v>707500</v>
      </c>
      <c r="M18" s="2">
        <v>10149</v>
      </c>
      <c r="N18" s="3">
        <v>1271</v>
      </c>
      <c r="O18" s="2">
        <v>6703</v>
      </c>
      <c r="P18" s="2">
        <v>69.715000000000003</v>
      </c>
      <c r="Q18" s="2">
        <v>31.350999999999999</v>
      </c>
      <c r="R18" s="2">
        <v>0.2155</v>
      </c>
      <c r="S18">
        <v>0.61</v>
      </c>
      <c r="T18" s="2"/>
      <c r="U18" s="2"/>
      <c r="V18" s="2"/>
      <c r="W18" s="2"/>
      <c r="X18" s="2"/>
      <c r="Y18" s="2"/>
      <c r="Z18" s="2"/>
      <c r="AA18" s="2"/>
      <c r="AB18">
        <v>0.1729</v>
      </c>
    </row>
    <row r="19" spans="1:28">
      <c r="A19" s="2" t="s">
        <v>93</v>
      </c>
      <c r="B19" s="2" t="s">
        <v>94</v>
      </c>
      <c r="C19" s="15" t="s">
        <v>66</v>
      </c>
      <c r="D19" s="2" t="s">
        <v>70</v>
      </c>
      <c r="E19" s="2" t="s">
        <v>95</v>
      </c>
      <c r="F19" s="2">
        <v>213</v>
      </c>
      <c r="G19" s="2">
        <v>2515137</v>
      </c>
      <c r="H19" s="2">
        <v>1835157</v>
      </c>
      <c r="I19" s="2">
        <v>2.5499999999999998E-2</v>
      </c>
      <c r="J19" s="2">
        <v>6.7199999999999996E-2</v>
      </c>
      <c r="K19" s="11">
        <v>0.03</v>
      </c>
      <c r="L19" s="2">
        <v>419686</v>
      </c>
      <c r="M19" s="2">
        <v>8204</v>
      </c>
      <c r="N19" s="3">
        <v>0</v>
      </c>
      <c r="O19" s="2">
        <v>9267</v>
      </c>
      <c r="P19" s="2">
        <v>51.155999999999999</v>
      </c>
      <c r="Q19" s="2">
        <v>16.751000000000001</v>
      </c>
      <c r="R19" s="2">
        <v>0.22070000000000001</v>
      </c>
      <c r="S19" s="13">
        <v>0.46300000000000002</v>
      </c>
      <c r="T19" s="2"/>
      <c r="U19" s="2"/>
      <c r="V19" s="2"/>
      <c r="W19" s="2"/>
      <c r="X19" s="2"/>
      <c r="Y19" s="2"/>
      <c r="Z19" s="2"/>
      <c r="AA19" s="2"/>
      <c r="AB19">
        <v>7.5200000000000003E-2</v>
      </c>
    </row>
    <row r="20" spans="1:28" hidden="1">
      <c r="A20" s="2" t="s">
        <v>93</v>
      </c>
      <c r="B20" t="s">
        <v>94</v>
      </c>
      <c r="C20" s="16" t="s">
        <v>61</v>
      </c>
      <c r="D20" s="2" t="s">
        <v>70</v>
      </c>
      <c r="E20" s="2" t="s">
        <v>96</v>
      </c>
      <c r="F20">
        <v>213</v>
      </c>
      <c r="G20">
        <v>2410614.0580000002</v>
      </c>
      <c r="H20">
        <v>1785356.0330000001</v>
      </c>
      <c r="I20">
        <v>2.6499999999999999E-2</v>
      </c>
      <c r="J20">
        <v>6.93E-2</v>
      </c>
      <c r="K20" s="11">
        <v>0.03</v>
      </c>
      <c r="L20">
        <v>403454.89199999999</v>
      </c>
      <c r="M20">
        <v>8013</v>
      </c>
      <c r="O20">
        <v>9203</v>
      </c>
      <c r="P20">
        <v>50.35</v>
      </c>
      <c r="Q20">
        <v>16.402000000000001</v>
      </c>
      <c r="R20">
        <v>0.2155</v>
      </c>
      <c r="S20" s="13">
        <v>0.46300000000000002</v>
      </c>
      <c r="AB20">
        <v>7.2700000000000001E-2</v>
      </c>
    </row>
    <row r="21" spans="1:28" hidden="1">
      <c r="A21" s="2" t="s">
        <v>93</v>
      </c>
      <c r="B21" s="2" t="s">
        <v>94</v>
      </c>
      <c r="C21" s="16" t="s">
        <v>64</v>
      </c>
      <c r="D21" s="2" t="s">
        <v>70</v>
      </c>
      <c r="E21" s="2" t="s">
        <v>97</v>
      </c>
      <c r="F21" s="2">
        <v>213</v>
      </c>
      <c r="G21" s="2">
        <v>2567399</v>
      </c>
      <c r="H21" s="2">
        <v>1881338</v>
      </c>
      <c r="I21" s="2">
        <v>2.5499999999999998E-2</v>
      </c>
      <c r="J21" s="2">
        <v>7.0000000000000007E-2</v>
      </c>
      <c r="K21" s="11">
        <v>0.03</v>
      </c>
      <c r="L21" s="2">
        <v>437242.4</v>
      </c>
      <c r="M21" s="2">
        <v>8204</v>
      </c>
      <c r="N21" s="2">
        <v>1044</v>
      </c>
      <c r="O21" s="2">
        <v>9262</v>
      </c>
      <c r="P21" s="2">
        <v>53.295999999999999</v>
      </c>
      <c r="Q21" s="2">
        <v>17.271999999999998</v>
      </c>
      <c r="R21" s="2">
        <v>0.22559999999999999</v>
      </c>
      <c r="S21" s="13">
        <v>0.46300000000000002</v>
      </c>
      <c r="AB21">
        <v>7.5399999999999995E-2</v>
      </c>
    </row>
    <row r="22" spans="1:28" hidden="1">
      <c r="A22" s="2" t="s">
        <v>93</v>
      </c>
      <c r="B22" t="s">
        <v>98</v>
      </c>
      <c r="C22" s="16" t="s">
        <v>61</v>
      </c>
      <c r="D22" s="2" t="s">
        <v>62</v>
      </c>
      <c r="E22" s="2" t="s">
        <v>99</v>
      </c>
      <c r="F22">
        <v>155</v>
      </c>
      <c r="G22">
        <v>3884617.2390000001</v>
      </c>
      <c r="H22">
        <v>2712246.895</v>
      </c>
      <c r="I22">
        <v>2.75E-2</v>
      </c>
      <c r="J22">
        <v>7.2499999999999995E-2</v>
      </c>
      <c r="K22" s="11">
        <v>0.03</v>
      </c>
      <c r="L22">
        <v>323350.76299999998</v>
      </c>
      <c r="M22">
        <v>4049</v>
      </c>
      <c r="O22">
        <v>6296</v>
      </c>
      <c r="P22">
        <v>75.418999999999997</v>
      </c>
      <c r="Q22">
        <v>36.517000000000003</v>
      </c>
      <c r="R22">
        <v>0.42597000000000002</v>
      </c>
      <c r="S22" s="13">
        <v>0.46300000000000002</v>
      </c>
      <c r="AB22">
        <v>0.21579999999999999</v>
      </c>
    </row>
    <row r="23" spans="1:28" hidden="1">
      <c r="A23" s="2" t="s">
        <v>93</v>
      </c>
      <c r="B23" s="2" t="s">
        <v>98</v>
      </c>
      <c r="C23" s="16" t="s">
        <v>64</v>
      </c>
      <c r="D23" s="2" t="s">
        <v>62</v>
      </c>
      <c r="E23" s="2" t="s">
        <v>100</v>
      </c>
      <c r="F23" s="2">
        <v>155</v>
      </c>
      <c r="G23" s="2">
        <v>4069217</v>
      </c>
      <c r="H23" s="2">
        <v>2811813</v>
      </c>
      <c r="I23" s="2">
        <v>2.75E-2</v>
      </c>
      <c r="J23" s="11">
        <v>7.0000000000000007E-2</v>
      </c>
      <c r="K23" s="11">
        <v>0.03</v>
      </c>
      <c r="L23" s="2">
        <v>326639.90000000002</v>
      </c>
      <c r="M23" s="2">
        <v>3927</v>
      </c>
      <c r="N23" s="2">
        <v>0</v>
      </c>
      <c r="O23" s="2">
        <v>6351</v>
      </c>
      <c r="P23" s="2">
        <v>79.516000000000005</v>
      </c>
      <c r="Q23" s="2">
        <v>38.453000000000003</v>
      </c>
      <c r="R23" s="2"/>
      <c r="S23" s="13">
        <v>0.46300000000000002</v>
      </c>
      <c r="AB23">
        <v>0.21579999999999999</v>
      </c>
    </row>
    <row r="24" spans="1:28">
      <c r="A24" s="2" t="s">
        <v>93</v>
      </c>
      <c r="B24" s="2" t="s">
        <v>98</v>
      </c>
      <c r="C24" s="15" t="s">
        <v>66</v>
      </c>
      <c r="D24" s="2" t="s">
        <v>62</v>
      </c>
      <c r="E24" s="2" t="s">
        <v>101</v>
      </c>
      <c r="F24" s="2">
        <v>155</v>
      </c>
      <c r="G24" s="2">
        <v>3966401</v>
      </c>
      <c r="H24" s="2">
        <v>2767719</v>
      </c>
      <c r="I24" s="2">
        <v>2.75E-2</v>
      </c>
      <c r="J24" s="2">
        <v>7.2499999999999995E-2</v>
      </c>
      <c r="K24" s="11">
        <v>0.03</v>
      </c>
      <c r="L24" s="2">
        <v>322382.2</v>
      </c>
      <c r="M24" s="2">
        <v>3983</v>
      </c>
      <c r="N24" s="3">
        <v>1024</v>
      </c>
      <c r="O24" s="2">
        <v>6334</v>
      </c>
      <c r="P24" s="2">
        <v>77.486999999999995</v>
      </c>
      <c r="Q24" s="2">
        <v>37.439</v>
      </c>
      <c r="R24" s="2">
        <v>0.43837999999999999</v>
      </c>
      <c r="S24" s="13">
        <v>0.46300000000000002</v>
      </c>
      <c r="T24" s="2"/>
      <c r="U24" s="2"/>
      <c r="V24" s="2"/>
      <c r="W24" s="2"/>
      <c r="X24" s="2"/>
      <c r="Y24" s="2"/>
      <c r="Z24" s="2"/>
      <c r="AA24" s="2"/>
      <c r="AB24">
        <v>0.2155</v>
      </c>
    </row>
    <row r="25" spans="1:28" hidden="1">
      <c r="A25" t="s">
        <v>102</v>
      </c>
      <c r="B25" t="s">
        <v>103</v>
      </c>
      <c r="C25" s="16" t="s">
        <v>61</v>
      </c>
      <c r="D25" t="s">
        <v>70</v>
      </c>
      <c r="E25" s="2" t="s">
        <v>104</v>
      </c>
      <c r="F25">
        <v>163</v>
      </c>
      <c r="G25">
        <v>1781193.916</v>
      </c>
      <c r="H25">
        <v>1190267.2609999999</v>
      </c>
      <c r="I25">
        <v>2.75E-2</v>
      </c>
      <c r="J25">
        <v>7.0400000000000004E-2</v>
      </c>
      <c r="K25" s="11">
        <v>0.03</v>
      </c>
      <c r="L25">
        <v>144939.66399999999</v>
      </c>
      <c r="M25">
        <v>2961</v>
      </c>
      <c r="O25">
        <v>3733</v>
      </c>
      <c r="P25">
        <v>48.95</v>
      </c>
      <c r="Q25">
        <v>26.696000000000002</v>
      </c>
      <c r="R25">
        <v>0.34699999999999998</v>
      </c>
      <c r="AB25">
        <v>0.24118999999999999</v>
      </c>
    </row>
    <row r="26" spans="1:28" hidden="1">
      <c r="A26" s="2" t="s">
        <v>102</v>
      </c>
      <c r="B26" s="2" t="s">
        <v>103</v>
      </c>
      <c r="C26" s="16" t="s">
        <v>64</v>
      </c>
      <c r="D26" s="2" t="s">
        <v>70</v>
      </c>
      <c r="E26" s="2" t="s">
        <v>105</v>
      </c>
      <c r="F26" s="2">
        <v>163</v>
      </c>
      <c r="G26" s="2">
        <v>1885381</v>
      </c>
      <c r="H26" s="2">
        <v>1236056</v>
      </c>
      <c r="I26" s="2">
        <v>2.2499999999999999E-2</v>
      </c>
      <c r="J26" s="2">
        <v>7.0000000000000007E-2</v>
      </c>
      <c r="K26" s="11">
        <v>0.03</v>
      </c>
      <c r="L26" s="2">
        <v>151243</v>
      </c>
      <c r="M26" s="2">
        <v>2889</v>
      </c>
      <c r="N26" s="2">
        <v>12</v>
      </c>
      <c r="O26" s="2">
        <v>3828</v>
      </c>
      <c r="P26" s="2">
        <v>52.350999999999999</v>
      </c>
      <c r="Q26" s="2">
        <v>29.292999999999999</v>
      </c>
      <c r="R26" s="2">
        <v>0.36499999999999999</v>
      </c>
      <c r="AB26">
        <v>0.24634</v>
      </c>
    </row>
    <row r="27" spans="1:28">
      <c r="A27" s="2" t="s">
        <v>102</v>
      </c>
      <c r="B27" s="2" t="s">
        <v>103</v>
      </c>
      <c r="C27" s="15" t="s">
        <v>66</v>
      </c>
      <c r="D27" s="2" t="s">
        <v>70</v>
      </c>
      <c r="E27" s="2" t="s">
        <v>106</v>
      </c>
      <c r="F27" s="2">
        <v>163</v>
      </c>
      <c r="G27" s="2">
        <v>1838970</v>
      </c>
      <c r="H27" s="2">
        <v>1201491</v>
      </c>
      <c r="I27" s="2">
        <v>2.2499999999999999E-2</v>
      </c>
      <c r="J27" s="2">
        <v>7.0000000000000007E-2</v>
      </c>
      <c r="K27" s="11">
        <v>0.03</v>
      </c>
      <c r="L27" s="2">
        <v>147942.20000000001</v>
      </c>
      <c r="M27" s="2">
        <v>2934</v>
      </c>
      <c r="N27" s="3">
        <v>15</v>
      </c>
      <c r="O27" s="2">
        <v>3817</v>
      </c>
      <c r="P27" s="2">
        <v>50.423000000000002</v>
      </c>
      <c r="Q27" s="2">
        <v>26.943999999999999</v>
      </c>
      <c r="R27" s="2">
        <v>0.36</v>
      </c>
      <c r="S27" s="2"/>
      <c r="T27" s="2"/>
      <c r="U27" s="2"/>
      <c r="V27" s="2"/>
      <c r="W27" s="2"/>
      <c r="X27" s="2"/>
      <c r="Y27" s="2"/>
      <c r="Z27" s="2"/>
      <c r="AA27" s="2"/>
      <c r="AB27">
        <v>0.24643000000000001</v>
      </c>
    </row>
    <row r="28" spans="1:28" hidden="1">
      <c r="A28" s="2" t="s">
        <v>107</v>
      </c>
      <c r="B28" t="s">
        <v>108</v>
      </c>
      <c r="C28" s="16" t="s">
        <v>61</v>
      </c>
      <c r="D28" s="2" t="s">
        <v>70</v>
      </c>
      <c r="E28" s="2" t="s">
        <v>109</v>
      </c>
      <c r="F28">
        <v>171</v>
      </c>
      <c r="G28">
        <v>1470251.1270000001</v>
      </c>
      <c r="H28">
        <v>1066035.625</v>
      </c>
      <c r="I28">
        <v>2.5000000000000001E-2</v>
      </c>
      <c r="J28">
        <v>5.57E-2</v>
      </c>
      <c r="K28" s="11">
        <v>0.03</v>
      </c>
      <c r="L28">
        <v>208175.34400000001</v>
      </c>
      <c r="M28">
        <v>3893</v>
      </c>
      <c r="O28">
        <v>3202</v>
      </c>
      <c r="P28">
        <v>53.473999999999997</v>
      </c>
      <c r="Q28">
        <v>26.327999999999999</v>
      </c>
      <c r="R28">
        <v>0.14960000000000001</v>
      </c>
      <c r="AB28">
        <v>9.3899999999999997E-2</v>
      </c>
    </row>
    <row r="29" spans="1:28" hidden="1">
      <c r="A29" s="2" t="s">
        <v>107</v>
      </c>
      <c r="B29" s="2" t="s">
        <v>108</v>
      </c>
      <c r="C29" s="16" t="s">
        <v>64</v>
      </c>
      <c r="D29" s="2" t="s">
        <v>70</v>
      </c>
      <c r="E29" s="2" t="s">
        <v>110</v>
      </c>
      <c r="F29" s="2">
        <v>171</v>
      </c>
      <c r="G29" s="2">
        <v>1539302</v>
      </c>
      <c r="H29" s="2">
        <v>1057533</v>
      </c>
      <c r="I29" s="2">
        <v>2.5000000000000001E-2</v>
      </c>
      <c r="J29" s="2">
        <v>4.1200000000000001E-2</v>
      </c>
      <c r="K29" s="11">
        <v>0.03</v>
      </c>
      <c r="L29" s="2">
        <v>202026.5</v>
      </c>
      <c r="M29" s="2">
        <v>3624</v>
      </c>
      <c r="N29" s="2">
        <v>712</v>
      </c>
      <c r="O29" s="2">
        <v>3426</v>
      </c>
      <c r="P29" s="2">
        <v>54.72</v>
      </c>
      <c r="Q29" s="2">
        <v>27.527999999999999</v>
      </c>
      <c r="R29" s="2">
        <v>0.16489999999999999</v>
      </c>
      <c r="AB29">
        <v>8.14E-2</v>
      </c>
    </row>
    <row r="30" spans="1:28">
      <c r="A30" s="2" t="s">
        <v>107</v>
      </c>
      <c r="B30" s="2" t="s">
        <v>108</v>
      </c>
      <c r="C30" s="15" t="s">
        <v>66</v>
      </c>
      <c r="D30" s="2" t="s">
        <v>70</v>
      </c>
      <c r="E30" s="2" t="s">
        <v>111</v>
      </c>
      <c r="F30" s="2">
        <v>171</v>
      </c>
      <c r="G30" s="2">
        <v>1501381</v>
      </c>
      <c r="H30" s="2">
        <v>1063878</v>
      </c>
      <c r="I30" s="2">
        <v>2.5000000000000001E-2</v>
      </c>
      <c r="J30" s="2">
        <v>4.9700000000000001E-2</v>
      </c>
      <c r="K30" s="11">
        <v>0.03</v>
      </c>
      <c r="L30" s="2">
        <v>200234.2</v>
      </c>
      <c r="M30" s="2">
        <v>3659</v>
      </c>
      <c r="N30" s="3">
        <v>624</v>
      </c>
      <c r="O30" s="2">
        <v>3355</v>
      </c>
      <c r="P30" s="2">
        <v>54.058999999999997</v>
      </c>
      <c r="Q30" s="2">
        <v>27.047999999999998</v>
      </c>
      <c r="R30" s="2">
        <v>0.16059999999999999</v>
      </c>
      <c r="S30" s="2"/>
      <c r="T30" s="2"/>
      <c r="U30" s="2"/>
      <c r="V30" s="2"/>
      <c r="W30" s="2"/>
      <c r="X30" s="2"/>
      <c r="Y30" s="2"/>
      <c r="Z30" s="2"/>
      <c r="AA30" s="2"/>
      <c r="AB30">
        <v>8.9599999999999999E-2</v>
      </c>
    </row>
    <row r="31" spans="1:28" hidden="1">
      <c r="A31" t="s">
        <v>112</v>
      </c>
      <c r="B31" t="s">
        <v>113</v>
      </c>
      <c r="C31" s="16" t="s">
        <v>61</v>
      </c>
      <c r="D31" t="s">
        <v>70</v>
      </c>
      <c r="E31" s="2" t="s">
        <v>114</v>
      </c>
      <c r="F31">
        <v>192</v>
      </c>
      <c r="G31">
        <v>113840.75</v>
      </c>
      <c r="H31">
        <v>95023.653000000006</v>
      </c>
      <c r="I31">
        <v>0.03</v>
      </c>
      <c r="J31">
        <v>7.4999999999999997E-2</v>
      </c>
      <c r="K31" s="11">
        <v>0.03</v>
      </c>
      <c r="L31">
        <v>27247.919000000002</v>
      </c>
      <c r="M31">
        <v>460</v>
      </c>
      <c r="O31">
        <v>226</v>
      </c>
      <c r="P31">
        <v>56.668999999999997</v>
      </c>
      <c r="Q31">
        <v>22.908000000000001</v>
      </c>
      <c r="R31">
        <v>0.129</v>
      </c>
      <c r="AB31">
        <v>0.113</v>
      </c>
    </row>
    <row r="32" spans="1:28" hidden="1">
      <c r="A32" s="2" t="s">
        <v>112</v>
      </c>
      <c r="B32" s="2" t="s">
        <v>113</v>
      </c>
      <c r="C32" s="16" t="s">
        <v>64</v>
      </c>
      <c r="D32" s="2" t="s">
        <v>70</v>
      </c>
      <c r="E32" s="2" t="s">
        <v>115</v>
      </c>
      <c r="F32" s="2">
        <v>192</v>
      </c>
      <c r="G32" s="2">
        <v>124726.1</v>
      </c>
      <c r="H32" s="2">
        <v>118296.2</v>
      </c>
      <c r="I32" s="2">
        <v>0.03</v>
      </c>
      <c r="J32" s="2">
        <v>7.4999999999999997E-2</v>
      </c>
      <c r="K32" s="11">
        <v>0.03</v>
      </c>
      <c r="L32" s="2">
        <v>28310.58</v>
      </c>
      <c r="M32" s="2">
        <v>469</v>
      </c>
      <c r="N32" s="2">
        <v>69</v>
      </c>
      <c r="O32" s="2">
        <v>253</v>
      </c>
      <c r="P32" s="2">
        <v>58.463999999999999</v>
      </c>
      <c r="Q32" s="2">
        <v>24.504000000000001</v>
      </c>
      <c r="R32" s="2">
        <v>8.8999999999999996E-2</v>
      </c>
      <c r="AB32">
        <v>0.10199999999999999</v>
      </c>
    </row>
    <row r="33" spans="1:28">
      <c r="A33" s="2" t="s">
        <v>112</v>
      </c>
      <c r="B33" s="2" t="s">
        <v>113</v>
      </c>
      <c r="C33" s="15" t="s">
        <v>66</v>
      </c>
      <c r="D33" s="2" t="s">
        <v>70</v>
      </c>
      <c r="E33" s="2" t="s">
        <v>116</v>
      </c>
      <c r="F33" s="2">
        <v>192</v>
      </c>
      <c r="G33" s="2">
        <v>118862</v>
      </c>
      <c r="H33" s="2">
        <v>108921.1</v>
      </c>
      <c r="I33" s="2">
        <v>0.03</v>
      </c>
      <c r="J33" s="2">
        <v>7.4999999999999997E-2</v>
      </c>
      <c r="K33" s="11">
        <v>0.03</v>
      </c>
      <c r="L33" s="2">
        <v>28170.78</v>
      </c>
      <c r="M33" s="2">
        <v>471</v>
      </c>
      <c r="N33" s="3">
        <v>67</v>
      </c>
      <c r="O33" s="2">
        <v>241</v>
      </c>
      <c r="P33" s="2">
        <v>57.210999999999999</v>
      </c>
      <c r="Q33" s="2">
        <v>23.591999999999999</v>
      </c>
      <c r="R33" s="2">
        <v>0.108</v>
      </c>
      <c r="S33" s="2"/>
      <c r="T33" s="2"/>
      <c r="U33" s="2"/>
      <c r="V33" s="2"/>
      <c r="W33" s="2"/>
      <c r="X33" s="2"/>
      <c r="Y33" s="2"/>
      <c r="Z33" s="2"/>
      <c r="AA33" s="2"/>
      <c r="AB33">
        <v>0.114</v>
      </c>
    </row>
    <row r="34" spans="1:28">
      <c r="A34" s="2" t="s">
        <v>117</v>
      </c>
      <c r="B34" s="2" t="s">
        <v>118</v>
      </c>
      <c r="C34" s="15" t="s">
        <v>66</v>
      </c>
      <c r="D34" s="2" t="s">
        <v>70</v>
      </c>
      <c r="E34" s="2" t="s">
        <v>119</v>
      </c>
      <c r="F34" s="2">
        <v>148</v>
      </c>
      <c r="G34" s="2">
        <v>11822396</v>
      </c>
      <c r="H34" s="2">
        <v>7476798</v>
      </c>
      <c r="I34" s="11">
        <v>2.5000000000000001E-2</v>
      </c>
      <c r="J34" s="2">
        <v>7.0499999999999993E-2</v>
      </c>
      <c r="K34" s="11">
        <v>0.03</v>
      </c>
      <c r="L34" s="2">
        <v>1646906</v>
      </c>
      <c r="M34" s="2">
        <v>20856</v>
      </c>
      <c r="N34" s="3">
        <v>12678</v>
      </c>
      <c r="O34" s="2">
        <v>14559</v>
      </c>
      <c r="P34" s="2">
        <v>78.965999999999994</v>
      </c>
      <c r="Q34" s="2">
        <v>43.374000000000002</v>
      </c>
      <c r="R34" s="2">
        <v>0.12662999999999999</v>
      </c>
      <c r="S34" s="9">
        <v>44.7</v>
      </c>
      <c r="T34" s="2"/>
      <c r="U34" s="2"/>
      <c r="V34" s="2"/>
      <c r="W34" s="2"/>
      <c r="X34" s="2"/>
      <c r="Y34" s="2"/>
      <c r="Z34" s="2"/>
      <c r="AA34" s="2"/>
      <c r="AB34">
        <v>0.23219000000000001</v>
      </c>
    </row>
    <row r="35" spans="1:28" hidden="1">
      <c r="A35" s="2" t="s">
        <v>117</v>
      </c>
      <c r="B35" t="s">
        <v>118</v>
      </c>
      <c r="C35" s="16" t="s">
        <v>61</v>
      </c>
      <c r="D35" s="2" t="s">
        <v>70</v>
      </c>
      <c r="E35" s="2" t="s">
        <v>120</v>
      </c>
      <c r="F35">
        <v>148</v>
      </c>
      <c r="G35">
        <v>11208848.99</v>
      </c>
      <c r="H35">
        <v>7069519.6660000002</v>
      </c>
      <c r="J35">
        <v>7.4999999999999997E-2</v>
      </c>
      <c r="K35" s="11">
        <v>0.03</v>
      </c>
      <c r="L35">
        <v>1593575.568</v>
      </c>
      <c r="M35">
        <v>20925</v>
      </c>
      <c r="O35">
        <v>0</v>
      </c>
      <c r="P35">
        <v>76.155000000000001</v>
      </c>
      <c r="S35" s="9">
        <v>44.7</v>
      </c>
    </row>
    <row r="36" spans="1:28" hidden="1">
      <c r="A36" s="2" t="s">
        <v>117</v>
      </c>
      <c r="B36" s="2" t="s">
        <v>118</v>
      </c>
      <c r="C36" s="16" t="s">
        <v>64</v>
      </c>
      <c r="D36" s="2" t="s">
        <v>70</v>
      </c>
      <c r="E36" s="2" t="s">
        <v>121</v>
      </c>
      <c r="F36" s="2">
        <v>148</v>
      </c>
      <c r="G36" s="2">
        <v>11822396</v>
      </c>
      <c r="H36" s="2">
        <v>7476798</v>
      </c>
      <c r="I36" s="11">
        <v>2.5000000000000001E-2</v>
      </c>
      <c r="J36" s="2">
        <v>7.0499999999999993E-2</v>
      </c>
      <c r="K36" s="11">
        <v>0.03</v>
      </c>
      <c r="L36" s="2">
        <v>1719831</v>
      </c>
      <c r="M36" s="2">
        <v>20856</v>
      </c>
      <c r="N36" s="2">
        <v>12678</v>
      </c>
      <c r="O36" s="2">
        <v>14559</v>
      </c>
      <c r="P36" s="2">
        <v>78.965999999999994</v>
      </c>
      <c r="Q36" s="2">
        <v>43.374000000000002</v>
      </c>
      <c r="R36" s="2">
        <v>0.12662999999999999</v>
      </c>
      <c r="S36" s="9">
        <v>44.7</v>
      </c>
      <c r="AB36">
        <v>0.23219000000000001</v>
      </c>
    </row>
    <row r="37" spans="1:28" hidden="1">
      <c r="A37" t="s">
        <v>122</v>
      </c>
      <c r="B37" t="s">
        <v>123</v>
      </c>
      <c r="C37" s="16" t="s">
        <v>61</v>
      </c>
      <c r="D37" t="s">
        <v>70</v>
      </c>
      <c r="E37" s="2" t="s">
        <v>124</v>
      </c>
      <c r="F37">
        <v>187</v>
      </c>
      <c r="G37">
        <v>264696.02399999998</v>
      </c>
      <c r="H37">
        <v>193642.20199999999</v>
      </c>
      <c r="I37">
        <v>2.5999999999999999E-2</v>
      </c>
      <c r="K37" s="11">
        <v>0.03</v>
      </c>
      <c r="L37">
        <v>49012.027999999998</v>
      </c>
      <c r="M37">
        <v>920</v>
      </c>
      <c r="O37">
        <v>713</v>
      </c>
      <c r="P37">
        <v>53.274000000000001</v>
      </c>
      <c r="Q37">
        <v>22.276</v>
      </c>
      <c r="R37">
        <v>0.19700000000000001</v>
      </c>
      <c r="AB37">
        <v>0.124</v>
      </c>
    </row>
    <row r="38" spans="1:28" hidden="1">
      <c r="A38" s="2" t="s">
        <v>122</v>
      </c>
      <c r="B38" s="2" t="s">
        <v>123</v>
      </c>
      <c r="C38" s="16" t="s">
        <v>64</v>
      </c>
      <c r="D38" s="2" t="s">
        <v>70</v>
      </c>
      <c r="E38" s="2" t="s">
        <v>125</v>
      </c>
      <c r="F38" s="2">
        <v>187</v>
      </c>
      <c r="G38" s="2">
        <v>293171.20000000001</v>
      </c>
      <c r="H38" s="2">
        <v>209861.7</v>
      </c>
      <c r="I38" s="2">
        <v>2.5999999999999999E-2</v>
      </c>
      <c r="J38" s="11">
        <v>7.0000000000000007E-2</v>
      </c>
      <c r="K38" s="11">
        <v>0.03</v>
      </c>
      <c r="L38" s="2">
        <v>50603.5</v>
      </c>
      <c r="M38" s="2">
        <v>880</v>
      </c>
      <c r="N38" s="2">
        <v>393</v>
      </c>
      <c r="O38" s="2">
        <v>767</v>
      </c>
      <c r="P38" s="2">
        <v>57.503999999999998</v>
      </c>
      <c r="Q38" s="2">
        <v>22.603999999999999</v>
      </c>
      <c r="R38" s="2">
        <v>0.219</v>
      </c>
      <c r="AB38">
        <v>0.126</v>
      </c>
    </row>
    <row r="39" spans="1:28">
      <c r="A39" s="2" t="s">
        <v>122</v>
      </c>
      <c r="B39" s="2" t="s">
        <v>123</v>
      </c>
      <c r="C39" s="15" t="s">
        <v>66</v>
      </c>
      <c r="D39" s="2" t="s">
        <v>70</v>
      </c>
      <c r="E39" s="2" t="s">
        <v>126</v>
      </c>
      <c r="F39" s="2">
        <v>187</v>
      </c>
      <c r="G39" s="2">
        <v>278151.2</v>
      </c>
      <c r="H39" s="2">
        <v>202509.8</v>
      </c>
      <c r="I39" s="2">
        <v>2.5999999999999999E-2</v>
      </c>
      <c r="J39" s="11">
        <v>7.0000000000000007E-2</v>
      </c>
      <c r="K39" s="11">
        <v>0.03</v>
      </c>
      <c r="L39" s="2">
        <v>49218.44</v>
      </c>
      <c r="M39" s="2">
        <v>913</v>
      </c>
      <c r="N39" s="3">
        <v>375</v>
      </c>
      <c r="O39" s="2">
        <v>766</v>
      </c>
      <c r="P39" s="2">
        <v>53.908000000000001</v>
      </c>
      <c r="Q39" s="2">
        <v>22.364000000000001</v>
      </c>
      <c r="R39" s="2">
        <v>0.20799999999999999</v>
      </c>
      <c r="S39" s="2"/>
      <c r="T39" s="2"/>
      <c r="U39" s="2"/>
      <c r="V39" s="2"/>
      <c r="W39" s="2"/>
      <c r="X39" s="2"/>
      <c r="Y39" s="2"/>
      <c r="Z39" s="2"/>
      <c r="AA39" s="2"/>
      <c r="AB39">
        <v>0.126</v>
      </c>
    </row>
    <row r="40" spans="1:28" hidden="1">
      <c r="A40" s="2" t="s">
        <v>127</v>
      </c>
      <c r="B40" t="s">
        <v>128</v>
      </c>
      <c r="C40" s="16" t="s">
        <v>61</v>
      </c>
      <c r="D40" s="2" t="s">
        <v>75</v>
      </c>
      <c r="E40" s="2" t="s">
        <v>129</v>
      </c>
      <c r="F40">
        <v>189</v>
      </c>
      <c r="G40">
        <v>190005.43799999999</v>
      </c>
      <c r="H40">
        <v>20062.366999999998</v>
      </c>
      <c r="I40">
        <v>2.75E-2</v>
      </c>
      <c r="J40">
        <v>4.385E-2</v>
      </c>
      <c r="K40" s="11">
        <v>0.03</v>
      </c>
      <c r="L40">
        <v>6875.6620000000003</v>
      </c>
      <c r="M40">
        <v>109</v>
      </c>
      <c r="O40">
        <v>242</v>
      </c>
      <c r="P40">
        <v>60.718000000000004</v>
      </c>
      <c r="Q40">
        <v>27.867000000000001</v>
      </c>
      <c r="R40">
        <v>1.8614200000000001</v>
      </c>
      <c r="AB40">
        <v>0.47497</v>
      </c>
    </row>
    <row r="41" spans="1:28" hidden="1">
      <c r="A41" s="2" t="s">
        <v>127</v>
      </c>
      <c r="B41" s="2" t="s">
        <v>128</v>
      </c>
      <c r="C41" s="16" t="s">
        <v>64</v>
      </c>
      <c r="D41" s="2" t="s">
        <v>75</v>
      </c>
      <c r="E41" s="2" t="s">
        <v>130</v>
      </c>
      <c r="F41" s="2">
        <v>189</v>
      </c>
      <c r="G41" s="2">
        <v>197719.8</v>
      </c>
      <c r="H41" s="2">
        <v>24185.66</v>
      </c>
      <c r="I41" s="2">
        <v>2.5000000000000001E-2</v>
      </c>
      <c r="J41" s="2">
        <v>3.3399999999999999E-2</v>
      </c>
      <c r="K41" s="11">
        <v>0.03</v>
      </c>
      <c r="L41" s="2">
        <v>6140.1769999999997</v>
      </c>
      <c r="M41" s="2">
        <v>94</v>
      </c>
      <c r="N41" s="2">
        <v>2</v>
      </c>
      <c r="O41" s="2">
        <v>246</v>
      </c>
      <c r="P41" s="2">
        <v>69769</v>
      </c>
      <c r="Q41" s="2">
        <v>34.445</v>
      </c>
      <c r="R41" s="2">
        <v>2.0968100000000001</v>
      </c>
      <c r="AB41">
        <v>0.53410000000000002</v>
      </c>
    </row>
    <row r="42" spans="1:28">
      <c r="A42" s="2" t="s">
        <v>127</v>
      </c>
      <c r="B42" s="2" t="s">
        <v>128</v>
      </c>
      <c r="C42" s="15" t="s">
        <v>66</v>
      </c>
      <c r="D42" s="2" t="s">
        <v>75</v>
      </c>
      <c r="E42" s="2" t="s">
        <v>131</v>
      </c>
      <c r="F42" s="2">
        <v>189</v>
      </c>
      <c r="G42" s="2">
        <v>196193.6</v>
      </c>
      <c r="H42" s="2">
        <v>22233.77</v>
      </c>
      <c r="I42" s="2">
        <v>2.75E-2</v>
      </c>
      <c r="J42" s="2">
        <v>3.7100000000000001E-2</v>
      </c>
      <c r="K42" s="11">
        <v>0.03</v>
      </c>
      <c r="L42" s="2">
        <v>6419.7370000000001</v>
      </c>
      <c r="M42" s="2">
        <v>103</v>
      </c>
      <c r="N42" s="3">
        <v>3</v>
      </c>
      <c r="O42" s="2">
        <v>241</v>
      </c>
      <c r="P42" s="2">
        <v>62.113</v>
      </c>
      <c r="Q42" s="2">
        <v>33.308</v>
      </c>
      <c r="R42" s="2">
        <v>2.0415899999999998</v>
      </c>
      <c r="S42" s="2"/>
      <c r="T42" s="2"/>
      <c r="U42" s="2"/>
      <c r="V42" s="2"/>
      <c r="W42" s="2"/>
      <c r="X42" s="2"/>
      <c r="Y42" s="2"/>
      <c r="Z42" s="2"/>
      <c r="AA42" s="2"/>
      <c r="AB42">
        <v>0.49271999999999999</v>
      </c>
    </row>
    <row r="43" spans="1:28" hidden="1">
      <c r="A43" s="2" t="s">
        <v>132</v>
      </c>
      <c r="B43" t="s">
        <v>133</v>
      </c>
      <c r="C43" s="16" t="s">
        <v>61</v>
      </c>
      <c r="D43" s="2" t="s">
        <v>75</v>
      </c>
      <c r="E43" s="2" t="s">
        <v>134</v>
      </c>
      <c r="F43">
        <v>182</v>
      </c>
      <c r="G43">
        <v>626518</v>
      </c>
      <c r="H43">
        <v>548685</v>
      </c>
      <c r="I43">
        <v>0.03</v>
      </c>
      <c r="J43">
        <v>6.2100000000000002E-2</v>
      </c>
      <c r="K43" s="11">
        <v>0.03</v>
      </c>
      <c r="L43">
        <v>71781</v>
      </c>
      <c r="M43">
        <v>1058</v>
      </c>
      <c r="O43">
        <v>697</v>
      </c>
      <c r="P43">
        <v>67.846000000000004</v>
      </c>
      <c r="Q43">
        <v>48.162999999999997</v>
      </c>
      <c r="R43">
        <v>0.17810000000000001</v>
      </c>
      <c r="AB43">
        <v>0.2366</v>
      </c>
    </row>
    <row r="44" spans="1:28" hidden="1">
      <c r="A44" s="2" t="s">
        <v>132</v>
      </c>
      <c r="B44" s="2" t="s">
        <v>133</v>
      </c>
      <c r="C44" s="16" t="s">
        <v>64</v>
      </c>
      <c r="D44" s="2" t="s">
        <v>75</v>
      </c>
      <c r="E44" s="2" t="s">
        <v>135</v>
      </c>
      <c r="F44" s="2">
        <v>182</v>
      </c>
      <c r="G44" s="2">
        <v>758667</v>
      </c>
      <c r="H44" s="2">
        <v>580144</v>
      </c>
      <c r="I44" s="2">
        <v>2.5000000000000001E-2</v>
      </c>
      <c r="J44" s="2">
        <v>3.3799999999999997E-2</v>
      </c>
      <c r="K44" s="11">
        <v>0.03</v>
      </c>
      <c r="L44" s="2">
        <v>82533</v>
      </c>
      <c r="M44" s="2">
        <v>1067</v>
      </c>
      <c r="N44" s="2">
        <v>16</v>
      </c>
      <c r="O44" s="2">
        <v>765</v>
      </c>
      <c r="P44" s="2">
        <v>77.349999999999994</v>
      </c>
      <c r="Q44" s="2">
        <v>51.109000000000002</v>
      </c>
      <c r="R44" s="2">
        <v>0.28910000000000002</v>
      </c>
      <c r="AB44">
        <v>0.26519999999999999</v>
      </c>
    </row>
    <row r="45" spans="1:28">
      <c r="A45" s="2" t="s">
        <v>132</v>
      </c>
      <c r="B45" s="2" t="s">
        <v>133</v>
      </c>
      <c r="C45" s="15" t="s">
        <v>66</v>
      </c>
      <c r="D45" s="2" t="s">
        <v>75</v>
      </c>
      <c r="E45" s="2" t="s">
        <v>136</v>
      </c>
      <c r="F45" s="2">
        <v>182</v>
      </c>
      <c r="G45" s="2">
        <v>684387</v>
      </c>
      <c r="H45" s="2">
        <v>566042</v>
      </c>
      <c r="I45" s="2">
        <v>0.03</v>
      </c>
      <c r="J45" s="2">
        <v>5.3699999999999998E-2</v>
      </c>
      <c r="K45" s="11">
        <v>0.03</v>
      </c>
      <c r="L45" s="2">
        <v>77041</v>
      </c>
      <c r="M45" s="2">
        <v>1047</v>
      </c>
      <c r="N45" s="3">
        <v>15</v>
      </c>
      <c r="O45" s="2">
        <v>750</v>
      </c>
      <c r="P45" s="2">
        <v>73.581999999999994</v>
      </c>
      <c r="Q45" s="2">
        <v>50.292999999999999</v>
      </c>
      <c r="R45" s="2">
        <v>0.2104</v>
      </c>
      <c r="S45" s="2"/>
      <c r="T45" s="2"/>
      <c r="U45" s="2"/>
      <c r="V45" s="2"/>
      <c r="W45" s="2"/>
      <c r="X45" s="2"/>
      <c r="Y45" s="2"/>
      <c r="Z45" s="2"/>
      <c r="AA45" s="2"/>
      <c r="AB45">
        <v>0.24060000000000001</v>
      </c>
    </row>
    <row r="46" spans="1:28" hidden="1">
      <c r="A46" t="s">
        <v>137</v>
      </c>
      <c r="B46" s="2" t="s">
        <v>138</v>
      </c>
      <c r="C46" s="16" t="s">
        <v>61</v>
      </c>
      <c r="D46" t="s">
        <v>62</v>
      </c>
      <c r="E46" t="s">
        <v>139</v>
      </c>
      <c r="F46" s="2">
        <v>10</v>
      </c>
      <c r="G46" s="2">
        <v>408278.8</v>
      </c>
      <c r="H46" s="2">
        <v>258596.8</v>
      </c>
      <c r="I46" s="2">
        <v>2.75E-2</v>
      </c>
      <c r="J46" s="4"/>
      <c r="K46" s="11">
        <v>0.03</v>
      </c>
      <c r="L46" s="2">
        <v>38432.300000000003</v>
      </c>
      <c r="M46" s="2">
        <v>858</v>
      </c>
      <c r="N46" s="2">
        <v>27</v>
      </c>
      <c r="O46" s="2">
        <v>788</v>
      </c>
      <c r="P46" s="2"/>
      <c r="Q46" s="2"/>
      <c r="R46" s="2">
        <v>0.35859999999999997</v>
      </c>
      <c r="AB46" s="2">
        <v>0.1673</v>
      </c>
    </row>
    <row r="47" spans="1:28">
      <c r="A47" s="2" t="s">
        <v>140</v>
      </c>
      <c r="B47" s="2" t="s">
        <v>141</v>
      </c>
      <c r="C47" s="15" t="s">
        <v>66</v>
      </c>
      <c r="D47" s="2" t="s">
        <v>75</v>
      </c>
      <c r="E47" s="2" t="s">
        <v>142</v>
      </c>
      <c r="F47" s="2">
        <v>206</v>
      </c>
      <c r="G47" s="2">
        <v>6256060</v>
      </c>
      <c r="H47" s="2">
        <v>1137089</v>
      </c>
      <c r="I47" s="2">
        <v>2.2499999999999999E-2</v>
      </c>
      <c r="J47" s="11">
        <v>7.0000000000000007E-2</v>
      </c>
      <c r="K47" s="11">
        <v>0.03</v>
      </c>
      <c r="L47" s="2">
        <v>457082.3</v>
      </c>
      <c r="M47" s="2">
        <v>4630</v>
      </c>
      <c r="N47" s="3">
        <v>30547</v>
      </c>
      <c r="O47" s="2">
        <v>5128</v>
      </c>
      <c r="P47" s="2">
        <v>98.721999999999994</v>
      </c>
      <c r="Q47" s="2">
        <v>66.864999999999995</v>
      </c>
      <c r="R47" s="2">
        <v>0.77695000000000003</v>
      </c>
      <c r="S47" s="2">
        <v>0.71344305035033406</v>
      </c>
      <c r="T47" s="2"/>
      <c r="U47" s="2"/>
      <c r="V47" s="2"/>
      <c r="W47" s="2"/>
      <c r="X47" s="2"/>
      <c r="Y47" s="2"/>
      <c r="Z47" s="2"/>
      <c r="AA47" s="2"/>
      <c r="AB47">
        <v>0.2165</v>
      </c>
    </row>
    <row r="48" spans="1:28" hidden="1">
      <c r="A48" s="2" t="s">
        <v>140</v>
      </c>
      <c r="B48" t="s">
        <v>141</v>
      </c>
      <c r="C48" s="16" t="s">
        <v>61</v>
      </c>
      <c r="D48" s="2" t="s">
        <v>75</v>
      </c>
      <c r="E48" s="2" t="s">
        <v>143</v>
      </c>
      <c r="F48">
        <v>206</v>
      </c>
      <c r="G48">
        <v>6155919.2039999999</v>
      </c>
      <c r="H48">
        <v>1130369.929</v>
      </c>
      <c r="I48">
        <v>2.2499999999999999E-2</v>
      </c>
      <c r="K48" s="11">
        <v>0.03</v>
      </c>
      <c r="L48">
        <v>456969.30099999998</v>
      </c>
      <c r="M48">
        <v>4487</v>
      </c>
      <c r="N48" s="2">
        <v>92</v>
      </c>
      <c r="O48">
        <v>5022</v>
      </c>
      <c r="P48">
        <v>98.242999999999995</v>
      </c>
      <c r="Q48">
        <v>63.838000000000001</v>
      </c>
      <c r="R48">
        <v>0.53613999999999995</v>
      </c>
      <c r="S48">
        <v>0.71344305035033406</v>
      </c>
      <c r="AB48">
        <v>0.216</v>
      </c>
    </row>
    <row r="49" spans="1:59" hidden="1">
      <c r="A49" s="2" t="s">
        <v>140</v>
      </c>
      <c r="B49" s="2" t="s">
        <v>141</v>
      </c>
      <c r="C49" s="16" t="s">
        <v>64</v>
      </c>
      <c r="D49" s="2" t="s">
        <v>75</v>
      </c>
      <c r="E49" s="2" t="s">
        <v>144</v>
      </c>
      <c r="F49" s="2">
        <v>206</v>
      </c>
      <c r="G49" s="2">
        <v>6570504</v>
      </c>
      <c r="H49" s="2">
        <v>1275913</v>
      </c>
      <c r="I49" s="2">
        <v>2.2499999999999999E-2</v>
      </c>
      <c r="J49" s="11">
        <v>7.0000000000000007E-2</v>
      </c>
      <c r="K49" s="11">
        <v>0.03</v>
      </c>
      <c r="L49" s="2">
        <v>500367.9</v>
      </c>
      <c r="M49" s="2">
        <v>4697</v>
      </c>
      <c r="N49" s="2">
        <v>124</v>
      </c>
      <c r="O49" s="2">
        <v>5221</v>
      </c>
      <c r="P49" s="2">
        <v>106.529</v>
      </c>
      <c r="Q49" s="2">
        <v>69.495000000000005</v>
      </c>
      <c r="R49" s="2">
        <v>0.75034999999999996</v>
      </c>
      <c r="S49">
        <v>0.71344305035033406</v>
      </c>
      <c r="AB49">
        <v>0.1961</v>
      </c>
    </row>
    <row r="50" spans="1:59">
      <c r="A50" s="2" t="s">
        <v>140</v>
      </c>
      <c r="B50" s="2" t="s">
        <v>145</v>
      </c>
      <c r="C50" s="15" t="s">
        <v>66</v>
      </c>
      <c r="D50" s="2" t="s">
        <v>70</v>
      </c>
      <c r="E50" s="2" t="s">
        <v>146</v>
      </c>
      <c r="F50" s="2">
        <v>145</v>
      </c>
      <c r="G50" s="2">
        <v>17260356</v>
      </c>
      <c r="H50" s="2">
        <v>4012852</v>
      </c>
      <c r="I50" s="2">
        <v>2.5000000000000001E-2</v>
      </c>
      <c r="J50" s="2">
        <v>7.0000000000000007E-2</v>
      </c>
      <c r="K50" s="11">
        <v>0.03</v>
      </c>
      <c r="L50" s="2">
        <v>1802790</v>
      </c>
      <c r="M50" s="2">
        <v>32162</v>
      </c>
      <c r="N50" s="3">
        <v>18734</v>
      </c>
      <c r="O50" s="2">
        <v>25544</v>
      </c>
      <c r="P50" s="2">
        <v>56.052999999999997</v>
      </c>
      <c r="Q50" s="2">
        <v>36.210999999999999</v>
      </c>
      <c r="R50" s="2">
        <v>0.62839999999999996</v>
      </c>
      <c r="S50" s="2">
        <v>0.71344305035033406</v>
      </c>
      <c r="T50" s="2"/>
      <c r="U50" s="2"/>
      <c r="V50" s="2"/>
      <c r="W50" s="2"/>
      <c r="X50" s="2"/>
      <c r="Y50" s="2"/>
      <c r="Z50" s="2"/>
      <c r="AA50" s="2"/>
      <c r="AB50">
        <v>0.13159999999999999</v>
      </c>
    </row>
    <row r="51" spans="1:59" hidden="1">
      <c r="A51" s="2" t="s">
        <v>140</v>
      </c>
      <c r="B51" t="s">
        <v>145</v>
      </c>
      <c r="C51" s="16" t="s">
        <v>61</v>
      </c>
      <c r="D51" s="2" t="s">
        <v>70</v>
      </c>
      <c r="E51" s="2" t="s">
        <v>147</v>
      </c>
      <c r="F51">
        <v>145</v>
      </c>
      <c r="G51">
        <v>16808614.316</v>
      </c>
      <c r="H51">
        <v>4195644.1720000003</v>
      </c>
      <c r="I51">
        <v>2.5000000000000001E-2</v>
      </c>
      <c r="J51">
        <v>7.0000000000000007E-2</v>
      </c>
      <c r="K51" s="11">
        <v>0.03</v>
      </c>
      <c r="L51">
        <v>1734595.6910000001</v>
      </c>
      <c r="M51">
        <v>31285</v>
      </c>
      <c r="O51">
        <v>25577</v>
      </c>
      <c r="P51">
        <v>55.445</v>
      </c>
      <c r="Q51">
        <v>34.764000000000003</v>
      </c>
      <c r="R51">
        <v>0.62570000000000003</v>
      </c>
      <c r="S51">
        <v>0.71344305035033406</v>
      </c>
      <c r="AB51">
        <v>0.1323</v>
      </c>
    </row>
    <row r="52" spans="1:59" hidden="1">
      <c r="A52" s="2" t="s">
        <v>140</v>
      </c>
      <c r="B52" s="2" t="s">
        <v>145</v>
      </c>
      <c r="C52" s="16" t="s">
        <v>64</v>
      </c>
      <c r="D52" s="2" t="s">
        <v>70</v>
      </c>
      <c r="E52" s="2" t="s">
        <v>148</v>
      </c>
      <c r="F52" s="2">
        <v>145</v>
      </c>
      <c r="G52" s="2">
        <v>17814812</v>
      </c>
      <c r="H52" s="2">
        <v>3977038</v>
      </c>
      <c r="I52" s="2">
        <v>2.5000000000000001E-2</v>
      </c>
      <c r="J52" s="2">
        <v>7.0000000000000007E-2</v>
      </c>
      <c r="K52" s="11">
        <v>0.03</v>
      </c>
      <c r="L52" s="2">
        <v>1861905</v>
      </c>
      <c r="M52" s="2">
        <v>31327</v>
      </c>
      <c r="N52" s="2">
        <v>20139</v>
      </c>
      <c r="O52" s="2">
        <v>25471</v>
      </c>
      <c r="P52" s="2">
        <v>59.435000000000002</v>
      </c>
      <c r="Q52" s="2">
        <v>37.298999999999999</v>
      </c>
      <c r="R52" s="2">
        <v>0.63529999999999998</v>
      </c>
      <c r="S52" s="13">
        <v>0.46300000000000002</v>
      </c>
      <c r="AB52">
        <v>0.13270000000000001</v>
      </c>
    </row>
    <row r="53" spans="1:59">
      <c r="A53" s="2" t="s">
        <v>140</v>
      </c>
      <c r="B53" s="2" t="s">
        <v>149</v>
      </c>
      <c r="C53" s="15" t="s">
        <v>66</v>
      </c>
      <c r="D53" s="2" t="s">
        <v>80</v>
      </c>
      <c r="E53" s="2" t="s">
        <v>150</v>
      </c>
      <c r="F53" s="2">
        <v>146</v>
      </c>
      <c r="G53" s="2">
        <v>14269770</v>
      </c>
      <c r="H53" s="2">
        <v>3179503</v>
      </c>
      <c r="I53" s="2">
        <v>2.2499999999999999E-2</v>
      </c>
      <c r="J53" s="2">
        <v>6.4299999999999996E-2</v>
      </c>
      <c r="K53" s="11">
        <v>0.03</v>
      </c>
      <c r="L53" s="2">
        <v>1228987</v>
      </c>
      <c r="M53" s="2">
        <v>13353</v>
      </c>
      <c r="N53" s="3">
        <v>707</v>
      </c>
      <c r="O53" s="2">
        <v>13771</v>
      </c>
      <c r="P53" s="2">
        <v>92.037999999999997</v>
      </c>
      <c r="Q53" s="2">
        <v>68.745999999999995</v>
      </c>
      <c r="R53" s="2">
        <v>0.64019999999999999</v>
      </c>
      <c r="S53" s="2">
        <v>0.71344305035033406</v>
      </c>
      <c r="T53" s="2"/>
      <c r="U53" s="2"/>
      <c r="V53" s="2"/>
      <c r="W53" s="2"/>
      <c r="X53" s="2"/>
      <c r="Y53" s="2"/>
      <c r="Z53" s="2"/>
      <c r="AA53" s="2"/>
      <c r="AB53">
        <v>0.22167000000000001</v>
      </c>
    </row>
    <row r="54" spans="1:59" hidden="1">
      <c r="A54" s="2" t="s">
        <v>140</v>
      </c>
      <c r="B54" t="s">
        <v>149</v>
      </c>
      <c r="C54" s="16" t="s">
        <v>61</v>
      </c>
      <c r="D54" s="2" t="s">
        <v>80</v>
      </c>
      <c r="E54" s="2" t="s">
        <v>151</v>
      </c>
      <c r="F54">
        <v>146</v>
      </c>
      <c r="G54">
        <v>13214658.111</v>
      </c>
      <c r="H54">
        <v>3145136.2039999999</v>
      </c>
      <c r="I54">
        <v>2.75E-2</v>
      </c>
      <c r="J54">
        <v>7.1800000000000003E-2</v>
      </c>
      <c r="K54" s="11">
        <v>0.03</v>
      </c>
      <c r="L54">
        <v>1205324.4450000001</v>
      </c>
      <c r="M54">
        <v>13438</v>
      </c>
      <c r="O54">
        <v>13631</v>
      </c>
      <c r="P54">
        <v>89.694999999999993</v>
      </c>
      <c r="Q54">
        <v>67.433999999999997</v>
      </c>
      <c r="R54">
        <v>0.61189000000000004</v>
      </c>
      <c r="S54" s="13">
        <v>0.46300000000000002</v>
      </c>
      <c r="AB54">
        <v>0.19586000000000001</v>
      </c>
    </row>
    <row r="55" spans="1:59" hidden="1">
      <c r="A55" s="2" t="s">
        <v>140</v>
      </c>
      <c r="B55" s="2" t="s">
        <v>149</v>
      </c>
      <c r="C55" s="16" t="s">
        <v>64</v>
      </c>
      <c r="D55" s="2" t="s">
        <v>80</v>
      </c>
      <c r="E55" s="2" t="s">
        <v>152</v>
      </c>
      <c r="F55" s="2">
        <v>146</v>
      </c>
      <c r="G55" s="2">
        <v>14703119</v>
      </c>
      <c r="H55" s="2">
        <v>3399988</v>
      </c>
      <c r="I55" s="2">
        <v>2.2499999999999999E-2</v>
      </c>
      <c r="J55" s="2">
        <v>6.2799999999999995E-2</v>
      </c>
      <c r="K55" s="11">
        <v>0.03</v>
      </c>
      <c r="L55" s="2">
        <v>1195980</v>
      </c>
      <c r="M55" s="2">
        <v>12715</v>
      </c>
      <c r="N55" s="2">
        <v>801</v>
      </c>
      <c r="O55" s="2">
        <v>13900</v>
      </c>
      <c r="P55" s="2">
        <v>94.061000000000007</v>
      </c>
      <c r="Q55" s="2">
        <v>71.201999999999998</v>
      </c>
      <c r="R55" s="2">
        <v>0.66844999999999999</v>
      </c>
      <c r="S55">
        <v>0.71344305035033406</v>
      </c>
      <c r="AB55">
        <v>0.21819</v>
      </c>
    </row>
    <row r="56" spans="1:59" hidden="1">
      <c r="A56" s="2" t="s">
        <v>140</v>
      </c>
      <c r="B56" t="s">
        <v>153</v>
      </c>
      <c r="C56" s="16" t="s">
        <v>61</v>
      </c>
      <c r="D56" t="s">
        <v>154</v>
      </c>
      <c r="E56" s="2" t="s">
        <v>155</v>
      </c>
      <c r="F56">
        <v>11</v>
      </c>
      <c r="G56">
        <v>22922992.557999998</v>
      </c>
      <c r="H56">
        <v>10969085.523</v>
      </c>
      <c r="I56">
        <v>2.75E-2</v>
      </c>
      <c r="J56">
        <v>6.8099999999999994E-2</v>
      </c>
      <c r="K56" s="11">
        <v>0.03</v>
      </c>
      <c r="L56">
        <v>2118062.176</v>
      </c>
      <c r="M56">
        <v>28958</v>
      </c>
      <c r="O56">
        <v>28549</v>
      </c>
      <c r="P56">
        <v>72.34</v>
      </c>
      <c r="Q56">
        <v>50.582999999999998</v>
      </c>
      <c r="R56">
        <v>0.37080999999999997</v>
      </c>
      <c r="S56">
        <v>0.71344305035033406</v>
      </c>
      <c r="AB56">
        <v>0.1729</v>
      </c>
    </row>
    <row r="57" spans="1:59" hidden="1">
      <c r="A57" s="2" t="s">
        <v>140</v>
      </c>
      <c r="B57" s="2" t="s">
        <v>153</v>
      </c>
      <c r="C57" s="16" t="s">
        <v>64</v>
      </c>
      <c r="D57" s="2" t="s">
        <v>154</v>
      </c>
      <c r="E57" s="2" t="s">
        <v>156</v>
      </c>
      <c r="F57" s="2">
        <v>11</v>
      </c>
      <c r="G57" s="2">
        <v>24073483</v>
      </c>
      <c r="H57" s="2">
        <v>11240208</v>
      </c>
      <c r="I57" s="2">
        <v>2.2499999999999999E-2</v>
      </c>
      <c r="J57" s="2">
        <v>6.3700000000000007E-2</v>
      </c>
      <c r="K57" s="11">
        <v>0.03</v>
      </c>
      <c r="L57" s="2">
        <v>2267288</v>
      </c>
      <c r="M57" s="2">
        <v>30091</v>
      </c>
      <c r="N57" s="2">
        <v>31284</v>
      </c>
      <c r="O57" s="2">
        <v>28015</v>
      </c>
      <c r="P57" s="2">
        <v>74.756</v>
      </c>
      <c r="Q57" s="2">
        <v>53.140999999999998</v>
      </c>
      <c r="R57" s="2">
        <v>0.40211999999999998</v>
      </c>
      <c r="S57">
        <v>0.71344305035033406</v>
      </c>
      <c r="AB57">
        <v>0.17599999999999999</v>
      </c>
    </row>
    <row r="58" spans="1:59">
      <c r="A58" s="2" t="s">
        <v>140</v>
      </c>
      <c r="B58" s="2" t="s">
        <v>153</v>
      </c>
      <c r="C58" s="15" t="s">
        <v>66</v>
      </c>
      <c r="D58" s="2" t="s">
        <v>154</v>
      </c>
      <c r="E58" s="2" t="s">
        <v>157</v>
      </c>
      <c r="F58" s="2">
        <v>11</v>
      </c>
      <c r="G58" s="2">
        <v>23252163</v>
      </c>
      <c r="H58" s="2">
        <v>11021812</v>
      </c>
      <c r="I58" s="2">
        <v>2.5000000000000001E-2</v>
      </c>
      <c r="J58" s="2">
        <v>6.7199999999999996E-2</v>
      </c>
      <c r="K58" s="11">
        <v>0.03</v>
      </c>
      <c r="L58" s="2">
        <v>2203056</v>
      </c>
      <c r="M58" s="2">
        <v>29295</v>
      </c>
      <c r="N58" s="3">
        <v>95</v>
      </c>
      <c r="O58" s="2">
        <v>28317</v>
      </c>
      <c r="P58" s="2">
        <v>74.382999999999996</v>
      </c>
      <c r="Q58" s="2">
        <v>51.878</v>
      </c>
      <c r="R58" s="2">
        <v>0.37691000000000002</v>
      </c>
      <c r="S58" s="2">
        <v>0.71344305035033406</v>
      </c>
      <c r="T58" s="2"/>
      <c r="U58" s="2"/>
      <c r="V58" s="2"/>
      <c r="W58" s="2"/>
      <c r="X58" s="2"/>
      <c r="Y58" s="2"/>
      <c r="Z58" s="2"/>
      <c r="AA58" s="2"/>
      <c r="AB58">
        <v>0.1736</v>
      </c>
    </row>
    <row r="59" spans="1:59" hidden="1">
      <c r="A59" t="s">
        <v>158</v>
      </c>
      <c r="B59" t="s">
        <v>159</v>
      </c>
      <c r="C59" s="16" t="s">
        <v>61</v>
      </c>
      <c r="D59" t="s">
        <v>70</v>
      </c>
      <c r="E59" s="2" t="s">
        <v>160</v>
      </c>
      <c r="F59">
        <v>160</v>
      </c>
      <c r="G59">
        <v>2346906</v>
      </c>
      <c r="H59">
        <v>1772494</v>
      </c>
      <c r="I59">
        <v>0.03</v>
      </c>
      <c r="K59" s="11">
        <v>0.03</v>
      </c>
      <c r="L59">
        <v>191806</v>
      </c>
      <c r="M59">
        <v>3029</v>
      </c>
      <c r="O59">
        <v>4233</v>
      </c>
      <c r="P59">
        <v>61.036000000000001</v>
      </c>
      <c r="Q59">
        <v>38.375999999999998</v>
      </c>
      <c r="R59">
        <v>0.28510000000000002</v>
      </c>
      <c r="AB59">
        <v>0.13320000000000001</v>
      </c>
    </row>
    <row r="60" spans="1:59" hidden="1">
      <c r="A60" s="2" t="s">
        <v>158</v>
      </c>
      <c r="B60" s="2" t="s">
        <v>159</v>
      </c>
      <c r="C60" s="16" t="s">
        <v>64</v>
      </c>
      <c r="D60" s="2" t="s">
        <v>70</v>
      </c>
      <c r="E60" s="2" t="s">
        <v>161</v>
      </c>
      <c r="F60" s="2">
        <v>160</v>
      </c>
      <c r="G60" s="2">
        <v>2466349</v>
      </c>
      <c r="H60" s="2">
        <v>1756533</v>
      </c>
      <c r="I60" s="11">
        <v>2.5000000000000001E-2</v>
      </c>
      <c r="J60" s="2">
        <v>7.4999999999999997E-2</v>
      </c>
      <c r="K60" s="11">
        <v>0.03</v>
      </c>
      <c r="L60" s="2">
        <v>215460</v>
      </c>
      <c r="M60" s="2">
        <v>2903</v>
      </c>
      <c r="N60" s="2">
        <v>225</v>
      </c>
      <c r="O60" s="2">
        <v>3660</v>
      </c>
      <c r="P60" s="2">
        <v>68.412999999999997</v>
      </c>
      <c r="Q60" s="2">
        <v>39.582000000000001</v>
      </c>
      <c r="R60" s="2">
        <v>0.30669999999999997</v>
      </c>
      <c r="AB60">
        <v>0.1246</v>
      </c>
    </row>
    <row r="61" spans="1:59">
      <c r="A61" s="2" t="s">
        <v>158</v>
      </c>
      <c r="B61" s="2" t="s">
        <v>159</v>
      </c>
      <c r="C61" s="15" t="s">
        <v>66</v>
      </c>
      <c r="D61" s="2" t="s">
        <v>70</v>
      </c>
      <c r="E61" s="2" t="s">
        <v>162</v>
      </c>
      <c r="F61" s="2">
        <v>160</v>
      </c>
      <c r="G61" s="2">
        <v>2417515</v>
      </c>
      <c r="H61" s="2">
        <v>1755861</v>
      </c>
      <c r="I61" s="2">
        <v>2.75E-2</v>
      </c>
      <c r="J61" s="11">
        <v>7.0000000000000007E-2</v>
      </c>
      <c r="K61" s="11">
        <v>0.03</v>
      </c>
      <c r="L61" s="2">
        <v>206122</v>
      </c>
      <c r="M61" s="2">
        <v>2951</v>
      </c>
      <c r="N61" s="3">
        <v>212</v>
      </c>
      <c r="O61" s="2">
        <v>4207</v>
      </c>
      <c r="P61" s="2">
        <v>66.132000000000005</v>
      </c>
      <c r="Q61" s="2">
        <v>38.679000000000002</v>
      </c>
      <c r="R61" s="2">
        <v>0.30199999999999999</v>
      </c>
      <c r="S61" s="2"/>
      <c r="T61" s="2"/>
      <c r="U61" s="2"/>
      <c r="V61" s="2"/>
      <c r="W61" s="2"/>
      <c r="X61" s="2"/>
      <c r="Y61" s="2"/>
      <c r="Z61" s="2"/>
      <c r="AA61" s="2"/>
      <c r="AB61">
        <v>0.12659999999999999</v>
      </c>
    </row>
    <row r="62" spans="1:59">
      <c r="A62" s="2" t="s">
        <v>163</v>
      </c>
      <c r="B62" s="2" t="s">
        <v>164</v>
      </c>
      <c r="C62" s="15" t="s">
        <v>66</v>
      </c>
      <c r="D62" s="2" t="s">
        <v>70</v>
      </c>
      <c r="E62" s="2" t="s">
        <v>165</v>
      </c>
      <c r="F62" s="2">
        <v>201</v>
      </c>
      <c r="G62" s="2">
        <v>4863325</v>
      </c>
      <c r="H62" s="2">
        <v>3682959</v>
      </c>
      <c r="I62" s="2">
        <v>2.5000000000000001E-2</v>
      </c>
      <c r="J62" s="2">
        <v>5.9299999999999999E-2</v>
      </c>
      <c r="K62" s="11">
        <v>0.03</v>
      </c>
      <c r="L62" s="2">
        <v>444737</v>
      </c>
      <c r="M62" s="2">
        <v>7427</v>
      </c>
      <c r="N62" s="3">
        <v>1666</v>
      </c>
      <c r="O62" s="2">
        <v>7405</v>
      </c>
      <c r="P62" s="2">
        <v>58.420999999999999</v>
      </c>
      <c r="Q62" s="2">
        <v>37.542999999999999</v>
      </c>
      <c r="R62" s="2">
        <v>0.22059999999999999</v>
      </c>
      <c r="S62" s="2">
        <v>0.69699999999999995</v>
      </c>
      <c r="T62" s="2"/>
      <c r="U62" s="2"/>
      <c r="V62" s="2"/>
      <c r="W62" s="2"/>
      <c r="X62" s="2"/>
      <c r="Y62" s="2"/>
      <c r="Z62" s="2"/>
      <c r="AA62" s="2"/>
      <c r="AB62">
        <v>0.20499999999999999</v>
      </c>
      <c r="AC62" s="2">
        <v>0.17580000000000001</v>
      </c>
      <c r="AD62" s="2">
        <v>8.3900000000000002E-2</v>
      </c>
      <c r="AE62" s="2">
        <v>6.4500000000000002E-2</v>
      </c>
      <c r="AF62" s="2">
        <v>8.5339999999999999E-2</v>
      </c>
      <c r="AG62" s="2">
        <v>0.25045000000000001</v>
      </c>
      <c r="AH62" s="2">
        <v>0.11153</v>
      </c>
      <c r="AI62" s="2">
        <v>0.11765</v>
      </c>
      <c r="AJ62" s="2">
        <v>0.13627</v>
      </c>
      <c r="AK62" s="2"/>
      <c r="AL62" s="2">
        <v>0.15079999999999999</v>
      </c>
      <c r="AM62" s="2"/>
      <c r="AN62" s="2">
        <v>2.2800000000000001E-2</v>
      </c>
      <c r="AO62" s="2"/>
      <c r="AP62" s="2">
        <v>0.35</v>
      </c>
      <c r="AQ62" s="2">
        <v>0.24</v>
      </c>
      <c r="AR62" s="2">
        <v>0.14000000000000001</v>
      </c>
      <c r="AS62" s="2">
        <v>0.15</v>
      </c>
      <c r="AT62" s="2">
        <v>0</v>
      </c>
      <c r="AU62" s="2">
        <v>0.11</v>
      </c>
      <c r="AV62" s="2">
        <v>0</v>
      </c>
      <c r="AW62" s="2">
        <v>0.01</v>
      </c>
      <c r="AX62" s="2">
        <v>0</v>
      </c>
      <c r="AY62" s="2">
        <v>0.32500000000000001</v>
      </c>
      <c r="AZ62" s="2">
        <v>0.25</v>
      </c>
      <c r="BA62" s="2">
        <v>0.17499999999999999</v>
      </c>
      <c r="BB62" s="2">
        <v>0.17499999999999999</v>
      </c>
      <c r="BC62" s="2">
        <v>0</v>
      </c>
      <c r="BD62" s="2">
        <v>0.15</v>
      </c>
      <c r="BE62" s="2">
        <v>0</v>
      </c>
      <c r="BF62" s="2">
        <v>0</v>
      </c>
      <c r="BG62" s="2">
        <v>0</v>
      </c>
    </row>
    <row r="63" spans="1:59" hidden="1">
      <c r="A63" s="2" t="s">
        <v>163</v>
      </c>
      <c r="B63" t="s">
        <v>164</v>
      </c>
      <c r="C63" s="16" t="s">
        <v>61</v>
      </c>
      <c r="D63" s="2" t="s">
        <v>70</v>
      </c>
      <c r="E63" s="2" t="s">
        <v>166</v>
      </c>
      <c r="F63">
        <v>201</v>
      </c>
      <c r="G63">
        <v>4526996</v>
      </c>
      <c r="H63">
        <v>3620319</v>
      </c>
      <c r="I63">
        <v>2.75E-2</v>
      </c>
      <c r="J63">
        <v>5.9799999999999999E-2</v>
      </c>
      <c r="K63" s="11">
        <v>0.03</v>
      </c>
      <c r="L63">
        <v>435375</v>
      </c>
      <c r="M63">
        <v>7584</v>
      </c>
      <c r="O63">
        <v>7224</v>
      </c>
      <c r="P63">
        <v>55.871000000000002</v>
      </c>
      <c r="Q63">
        <v>36.542000000000002</v>
      </c>
      <c r="R63">
        <v>0.2127</v>
      </c>
      <c r="S63" s="2">
        <v>0.69699999999999995</v>
      </c>
      <c r="AB63">
        <v>0.1956</v>
      </c>
    </row>
    <row r="64" spans="1:59" hidden="1">
      <c r="A64" s="2" t="s">
        <v>163</v>
      </c>
      <c r="B64" s="2" t="s">
        <v>164</v>
      </c>
      <c r="C64" s="16" t="s">
        <v>64</v>
      </c>
      <c r="D64" s="2" t="s">
        <v>70</v>
      </c>
      <c r="E64" s="2" t="s">
        <v>167</v>
      </c>
      <c r="F64" s="2">
        <v>201</v>
      </c>
      <c r="G64" s="2">
        <v>4932886</v>
      </c>
      <c r="H64" s="2">
        <v>3747078</v>
      </c>
      <c r="I64" s="2">
        <v>2.5000000000000001E-2</v>
      </c>
      <c r="J64" s="2">
        <v>5.2699999999999997E-2</v>
      </c>
      <c r="K64" s="11">
        <v>0.03</v>
      </c>
      <c r="L64" s="2">
        <v>439544</v>
      </c>
      <c r="M64" s="2">
        <v>7244</v>
      </c>
      <c r="N64" s="2">
        <v>143</v>
      </c>
      <c r="O64" s="2">
        <v>7552</v>
      </c>
      <c r="P64" s="2">
        <v>59.197000000000003</v>
      </c>
      <c r="Q64" s="2">
        <v>38.064999999999998</v>
      </c>
      <c r="R64" s="2">
        <v>0.21529999999999999</v>
      </c>
      <c r="S64" s="2">
        <v>0.69699999999999995</v>
      </c>
      <c r="AB64">
        <v>0.2011</v>
      </c>
    </row>
    <row r="65" spans="1:28">
      <c r="A65" s="2" t="s">
        <v>163</v>
      </c>
      <c r="B65" s="2" t="s">
        <v>168</v>
      </c>
      <c r="C65" s="15" t="s">
        <v>66</v>
      </c>
      <c r="D65" s="2" t="s">
        <v>62</v>
      </c>
      <c r="E65" s="2" t="s">
        <v>169</v>
      </c>
      <c r="F65" s="2">
        <v>153</v>
      </c>
      <c r="G65" s="2">
        <v>4723972</v>
      </c>
      <c r="H65" s="2">
        <v>2160126</v>
      </c>
      <c r="I65" s="2">
        <v>2.5000000000000001E-2</v>
      </c>
      <c r="J65" s="2">
        <v>7.0000000000000007E-2</v>
      </c>
      <c r="K65" s="11">
        <v>0.03</v>
      </c>
      <c r="L65" s="2">
        <v>396954.7</v>
      </c>
      <c r="M65" s="2">
        <v>4738</v>
      </c>
      <c r="N65" s="3">
        <v>128</v>
      </c>
      <c r="O65" s="2">
        <v>5039</v>
      </c>
      <c r="P65" s="2">
        <v>76.254000000000005</v>
      </c>
      <c r="Q65" s="2">
        <v>50.161000000000001</v>
      </c>
      <c r="R65" s="2">
        <v>0.46710000000000002</v>
      </c>
      <c r="S65">
        <v>0.85872401433691758</v>
      </c>
      <c r="T65" s="2"/>
      <c r="U65" s="2"/>
      <c r="V65" s="2"/>
      <c r="W65" s="2"/>
      <c r="X65" s="2"/>
      <c r="Y65" s="2"/>
      <c r="Z65" s="2"/>
      <c r="AA65" s="2"/>
      <c r="AB65">
        <v>0.17399999999999999</v>
      </c>
    </row>
    <row r="66" spans="1:28" hidden="1">
      <c r="A66" s="2" t="s">
        <v>163</v>
      </c>
      <c r="B66" t="s">
        <v>168</v>
      </c>
      <c r="C66" s="16" t="s">
        <v>61</v>
      </c>
      <c r="D66" s="2" t="s">
        <v>62</v>
      </c>
      <c r="E66" s="2" t="s">
        <v>170</v>
      </c>
      <c r="F66">
        <v>153</v>
      </c>
      <c r="G66">
        <v>4494822.5039999997</v>
      </c>
      <c r="H66">
        <v>2161899.662</v>
      </c>
      <c r="I66">
        <v>2.75E-2</v>
      </c>
      <c r="J66">
        <v>7.2499999999999995E-2</v>
      </c>
      <c r="K66" s="11">
        <v>0.03</v>
      </c>
      <c r="L66">
        <v>363117.41499999998</v>
      </c>
      <c r="M66">
        <v>4529</v>
      </c>
      <c r="O66">
        <v>4919</v>
      </c>
      <c r="P66">
        <v>70.475999999999999</v>
      </c>
      <c r="Q66">
        <v>49.884999999999998</v>
      </c>
      <c r="R66">
        <v>0.41880000000000001</v>
      </c>
      <c r="S66">
        <v>0.85872401433691758</v>
      </c>
      <c r="AB66">
        <v>0.16689999999999999</v>
      </c>
    </row>
    <row r="67" spans="1:28" hidden="1">
      <c r="A67" s="2" t="s">
        <v>163</v>
      </c>
      <c r="B67" s="2" t="s">
        <v>168</v>
      </c>
      <c r="C67" s="16" t="s">
        <v>64</v>
      </c>
      <c r="D67" s="2" t="s">
        <v>62</v>
      </c>
      <c r="E67" s="2" t="s">
        <v>171</v>
      </c>
      <c r="F67" s="2">
        <v>153</v>
      </c>
      <c r="G67" s="2">
        <v>5115967</v>
      </c>
      <c r="H67" s="2">
        <v>2127834</v>
      </c>
      <c r="I67" s="2">
        <v>2.5000000000000001E-2</v>
      </c>
      <c r="J67" s="11">
        <v>7.0000000000000007E-2</v>
      </c>
      <c r="K67" s="11">
        <v>0.03</v>
      </c>
      <c r="L67" s="2">
        <v>427440.5</v>
      </c>
      <c r="M67" s="2">
        <v>4786</v>
      </c>
      <c r="N67" s="2">
        <v>1710</v>
      </c>
      <c r="O67" s="2">
        <v>5110</v>
      </c>
      <c r="P67" s="2">
        <v>82.918999999999997</v>
      </c>
      <c r="Q67" s="2">
        <v>50.197000000000003</v>
      </c>
      <c r="R67" s="2">
        <v>0.51770000000000005</v>
      </c>
      <c r="S67">
        <v>0.85872401433691758</v>
      </c>
      <c r="AB67">
        <v>0.19220000000000001</v>
      </c>
    </row>
    <row r="68" spans="1:28" hidden="1">
      <c r="A68" s="2" t="s">
        <v>172</v>
      </c>
      <c r="B68" t="s">
        <v>173</v>
      </c>
      <c r="C68" s="16" t="s">
        <v>61</v>
      </c>
      <c r="D68" s="2" t="s">
        <v>62</v>
      </c>
      <c r="E68" s="2" t="s">
        <v>174</v>
      </c>
      <c r="F68">
        <v>19</v>
      </c>
      <c r="G68">
        <v>5223760</v>
      </c>
      <c r="H68">
        <v>5848576</v>
      </c>
      <c r="I68">
        <v>3.5000000000000003E-2</v>
      </c>
      <c r="J68">
        <v>6.5000000000000002E-2</v>
      </c>
      <c r="K68" s="11">
        <v>0.03</v>
      </c>
      <c r="L68">
        <v>454209</v>
      </c>
      <c r="M68">
        <v>5349</v>
      </c>
      <c r="O68">
        <v>3441</v>
      </c>
      <c r="P68">
        <v>84.915000000000006</v>
      </c>
      <c r="Q68">
        <v>32.497999999999998</v>
      </c>
      <c r="R68">
        <v>0.19439999999999999</v>
      </c>
      <c r="AB68">
        <v>0.39450000000000002</v>
      </c>
    </row>
    <row r="69" spans="1:28" hidden="1">
      <c r="A69" s="2" t="s">
        <v>172</v>
      </c>
      <c r="B69" s="2" t="s">
        <v>173</v>
      </c>
      <c r="C69" s="16" t="s">
        <v>64</v>
      </c>
      <c r="D69" s="2" t="s">
        <v>62</v>
      </c>
      <c r="E69" s="2" t="s">
        <v>175</v>
      </c>
      <c r="F69" s="2">
        <v>19</v>
      </c>
      <c r="G69" s="2">
        <v>6023843</v>
      </c>
      <c r="H69" s="2">
        <v>6676013</v>
      </c>
      <c r="I69" s="2">
        <v>3.5000000000000003E-2</v>
      </c>
      <c r="J69" s="2">
        <v>6.5000000000000002E-2</v>
      </c>
      <c r="K69" s="11">
        <v>0.03</v>
      </c>
      <c r="L69" s="2">
        <v>507348</v>
      </c>
      <c r="M69" s="2">
        <v>5377</v>
      </c>
      <c r="N69" s="2">
        <v>683</v>
      </c>
      <c r="O69" s="2">
        <v>3929</v>
      </c>
      <c r="P69" s="2">
        <v>94.355000000000004</v>
      </c>
      <c r="Q69" s="2">
        <v>37.31</v>
      </c>
      <c r="R69" s="2">
        <v>0.20979999999999999</v>
      </c>
      <c r="AB69">
        <v>0.40250000000000002</v>
      </c>
    </row>
    <row r="70" spans="1:28">
      <c r="A70" s="2" t="s">
        <v>172</v>
      </c>
      <c r="B70" s="2" t="s">
        <v>173</v>
      </c>
      <c r="C70" s="15" t="s">
        <v>66</v>
      </c>
      <c r="D70" s="2" t="s">
        <v>62</v>
      </c>
      <c r="E70" s="2" t="s">
        <v>176</v>
      </c>
      <c r="F70" s="2">
        <v>19</v>
      </c>
      <c r="G70" s="2">
        <v>5604573</v>
      </c>
      <c r="H70" s="2">
        <v>6269628</v>
      </c>
      <c r="I70" s="2">
        <v>3.5000000000000003E-2</v>
      </c>
      <c r="J70" s="2">
        <v>6.5000000000000002E-2</v>
      </c>
      <c r="K70" s="11">
        <v>0.03</v>
      </c>
      <c r="L70" s="2">
        <v>495809</v>
      </c>
      <c r="M70" s="2">
        <v>5406</v>
      </c>
      <c r="N70" s="3">
        <v>676</v>
      </c>
      <c r="O70" s="2">
        <v>3699</v>
      </c>
      <c r="P70" s="2">
        <v>91.715000000000003</v>
      </c>
      <c r="Q70" s="2">
        <v>34.850999999999999</v>
      </c>
      <c r="R70" s="2">
        <v>0.2051</v>
      </c>
      <c r="S70" s="2"/>
      <c r="T70" s="2"/>
      <c r="U70" s="2"/>
      <c r="V70" s="2"/>
      <c r="W70" s="2"/>
      <c r="X70" s="2"/>
      <c r="Y70" s="2"/>
      <c r="Z70" s="2"/>
      <c r="AA70" s="2"/>
      <c r="AB70">
        <v>0.39660000000000001</v>
      </c>
    </row>
    <row r="71" spans="1:28" hidden="1">
      <c r="A71" t="s">
        <v>172</v>
      </c>
      <c r="B71" t="s">
        <v>177</v>
      </c>
      <c r="C71" s="16" t="s">
        <v>61</v>
      </c>
      <c r="D71" t="s">
        <v>154</v>
      </c>
      <c r="E71" s="2" t="s">
        <v>178</v>
      </c>
      <c r="F71">
        <v>20</v>
      </c>
      <c r="G71">
        <v>2301314</v>
      </c>
      <c r="H71">
        <v>2139911</v>
      </c>
      <c r="I71">
        <v>3.5000000000000003E-2</v>
      </c>
      <c r="J71">
        <v>6.5000000000000002E-2</v>
      </c>
      <c r="K71" s="11">
        <v>0.03</v>
      </c>
      <c r="L71">
        <v>470749</v>
      </c>
      <c r="M71">
        <v>5066</v>
      </c>
      <c r="O71">
        <v>3990</v>
      </c>
      <c r="P71">
        <v>92.923000000000002</v>
      </c>
      <c r="Q71">
        <v>19.181999999999999</v>
      </c>
      <c r="R71">
        <v>0.1167</v>
      </c>
      <c r="AB71">
        <v>0.15870000000000001</v>
      </c>
    </row>
    <row r="72" spans="1:28" hidden="1">
      <c r="A72" s="2" t="s">
        <v>172</v>
      </c>
      <c r="B72" s="2" t="s">
        <v>177</v>
      </c>
      <c r="C72" s="16" t="s">
        <v>64</v>
      </c>
      <c r="D72" s="2" t="s">
        <v>154</v>
      </c>
      <c r="E72" s="2" t="s">
        <v>179</v>
      </c>
      <c r="F72" s="2">
        <v>20</v>
      </c>
      <c r="G72" s="2">
        <v>2640803</v>
      </c>
      <c r="H72" s="2">
        <v>2431075</v>
      </c>
      <c r="I72" s="2">
        <v>3.5000000000000003E-2</v>
      </c>
      <c r="J72" s="2">
        <v>6.5000000000000002E-2</v>
      </c>
      <c r="K72" s="11">
        <v>0.03</v>
      </c>
      <c r="L72" s="2">
        <v>551835</v>
      </c>
      <c r="M72" s="2">
        <v>5531</v>
      </c>
      <c r="N72" s="2">
        <v>6227</v>
      </c>
      <c r="O72" s="2">
        <v>4071</v>
      </c>
      <c r="P72" s="2">
        <v>99.771000000000001</v>
      </c>
      <c r="Q72" s="2">
        <v>20.97</v>
      </c>
      <c r="R72" s="2">
        <v>0.1226</v>
      </c>
      <c r="AB72">
        <v>0.1497</v>
      </c>
    </row>
    <row r="73" spans="1:28">
      <c r="A73" s="2" t="s">
        <v>172</v>
      </c>
      <c r="B73" s="2" t="s">
        <v>177</v>
      </c>
      <c r="C73" s="15" t="s">
        <v>66</v>
      </c>
      <c r="D73" s="2" t="s">
        <v>154</v>
      </c>
      <c r="E73" s="2" t="s">
        <v>180</v>
      </c>
      <c r="F73" s="2">
        <v>20</v>
      </c>
      <c r="G73" s="2">
        <v>2494291</v>
      </c>
      <c r="H73" s="2">
        <v>2271160</v>
      </c>
      <c r="I73" s="2">
        <v>3.5000000000000003E-2</v>
      </c>
      <c r="J73" s="2">
        <v>6.5000000000000002E-2</v>
      </c>
      <c r="K73" s="11">
        <v>0.03</v>
      </c>
      <c r="L73" s="2">
        <v>516609</v>
      </c>
      <c r="M73" s="2">
        <v>5226</v>
      </c>
      <c r="N73" s="3">
        <v>6324</v>
      </c>
      <c r="O73" s="2">
        <v>4059</v>
      </c>
      <c r="P73" s="2">
        <v>98.853999999999999</v>
      </c>
      <c r="Q73" s="2">
        <v>20.163</v>
      </c>
      <c r="R73" s="2">
        <v>0.1232</v>
      </c>
      <c r="S73" s="2"/>
      <c r="T73" s="2"/>
      <c r="U73" s="2"/>
      <c r="V73" s="2"/>
      <c r="W73" s="2"/>
      <c r="X73" s="2"/>
      <c r="Y73" s="2"/>
      <c r="Z73" s="2"/>
      <c r="AA73" s="2"/>
      <c r="AB73">
        <v>0.14580000000000001</v>
      </c>
    </row>
    <row r="74" spans="1:28" hidden="1">
      <c r="A74" s="2" t="s">
        <v>181</v>
      </c>
      <c r="B74" t="s">
        <v>182</v>
      </c>
      <c r="C74" s="16" t="s">
        <v>61</v>
      </c>
      <c r="D74" t="s">
        <v>70</v>
      </c>
      <c r="E74" s="2" t="s">
        <v>183</v>
      </c>
      <c r="F74">
        <v>22</v>
      </c>
      <c r="G74">
        <v>3623670</v>
      </c>
      <c r="H74">
        <v>2255412</v>
      </c>
      <c r="I74">
        <v>2.5000000000000001E-2</v>
      </c>
      <c r="J74">
        <v>7.4999999999999997E-2</v>
      </c>
      <c r="K74" s="11">
        <v>0.03</v>
      </c>
      <c r="L74">
        <v>692151</v>
      </c>
      <c r="M74">
        <v>9210</v>
      </c>
      <c r="N74">
        <f>3378+2740</f>
        <v>6118</v>
      </c>
      <c r="O74">
        <v>8399</v>
      </c>
      <c r="P74">
        <v>75.152000000000001</v>
      </c>
      <c r="Q74">
        <v>22742</v>
      </c>
      <c r="R74">
        <v>0.20349999999999999</v>
      </c>
      <c r="S74">
        <v>0.54</v>
      </c>
      <c r="AB74">
        <v>9.5600000000000004E-2</v>
      </c>
    </row>
    <row r="75" spans="1:28" hidden="1">
      <c r="A75" s="2" t="s">
        <v>181</v>
      </c>
      <c r="B75" s="2" t="s">
        <v>182</v>
      </c>
      <c r="C75" s="16" t="s">
        <v>64</v>
      </c>
      <c r="D75" s="2" t="s">
        <v>70</v>
      </c>
      <c r="E75" s="2" t="s">
        <v>184</v>
      </c>
      <c r="F75" s="2">
        <v>22</v>
      </c>
      <c r="G75" s="2">
        <v>3947667</v>
      </c>
      <c r="H75" s="2">
        <v>2378772</v>
      </c>
      <c r="I75" s="2">
        <v>2.5000000000000001E-2</v>
      </c>
      <c r="J75" s="2">
        <v>7.2499999999999995E-2</v>
      </c>
      <c r="K75" s="11">
        <v>0.03</v>
      </c>
      <c r="L75" s="2">
        <v>719481</v>
      </c>
      <c r="M75" s="2">
        <v>8958</v>
      </c>
      <c r="N75" s="2">
        <v>43</v>
      </c>
      <c r="O75" s="2">
        <v>10538</v>
      </c>
      <c r="P75" s="2">
        <v>80.745999999999995</v>
      </c>
      <c r="Q75" s="2">
        <v>22.515000000000001</v>
      </c>
      <c r="R75" s="2">
        <v>0.24390000000000001</v>
      </c>
      <c r="S75">
        <v>0.54</v>
      </c>
      <c r="AB75">
        <v>8.2000000000000003E-2</v>
      </c>
    </row>
    <row r="76" spans="1:28">
      <c r="A76" s="2" t="s">
        <v>181</v>
      </c>
      <c r="B76" s="2" t="s">
        <v>182</v>
      </c>
      <c r="C76" s="15" t="s">
        <v>66</v>
      </c>
      <c r="D76" s="2" t="s">
        <v>70</v>
      </c>
      <c r="E76" s="2" t="s">
        <v>185</v>
      </c>
      <c r="F76" s="2">
        <v>22</v>
      </c>
      <c r="G76" s="2">
        <v>3727787</v>
      </c>
      <c r="H76" s="2">
        <v>2300324</v>
      </c>
      <c r="I76" s="2">
        <v>2.5000000000000001E-2</v>
      </c>
      <c r="J76" s="2">
        <v>7.4999999999999997E-2</v>
      </c>
      <c r="K76" s="11">
        <v>0.03</v>
      </c>
      <c r="L76" s="2">
        <v>732000</v>
      </c>
      <c r="M76" s="2">
        <v>9401</v>
      </c>
      <c r="N76">
        <f>3411+2913</f>
        <v>6324</v>
      </c>
      <c r="O76" s="2">
        <v>8554</v>
      </c>
      <c r="P76" s="2">
        <v>78.453000000000003</v>
      </c>
      <c r="Q76" s="2">
        <v>23123</v>
      </c>
      <c r="R76" s="2">
        <v>0.2432</v>
      </c>
      <c r="S76">
        <v>0.54</v>
      </c>
      <c r="T76" s="2"/>
      <c r="U76" s="2"/>
      <c r="V76" s="2"/>
      <c r="W76" s="2"/>
      <c r="X76" s="2"/>
      <c r="Y76" s="2"/>
      <c r="Z76" s="2"/>
      <c r="AA76" s="2"/>
      <c r="AB76">
        <v>8.3500000000000005E-2</v>
      </c>
    </row>
    <row r="77" spans="1:28" hidden="1">
      <c r="A77" s="2" t="s">
        <v>181</v>
      </c>
      <c r="B77" t="s">
        <v>186</v>
      </c>
      <c r="C77" s="16" t="s">
        <v>61</v>
      </c>
      <c r="D77" t="s">
        <v>154</v>
      </c>
      <c r="E77" s="2" t="s">
        <v>187</v>
      </c>
      <c r="F77">
        <v>23</v>
      </c>
      <c r="G77">
        <v>4248602</v>
      </c>
      <c r="H77">
        <v>3261338</v>
      </c>
      <c r="I77">
        <v>2.4E-2</v>
      </c>
      <c r="J77">
        <v>7.2499999999999995E-2</v>
      </c>
      <c r="K77" s="11">
        <v>0.03</v>
      </c>
      <c r="L77">
        <v>722040</v>
      </c>
      <c r="M77">
        <v>16148</v>
      </c>
      <c r="O77">
        <v>7156</v>
      </c>
      <c r="P77">
        <v>44.713999999999999</v>
      </c>
      <c r="Q77">
        <v>38.926000000000002</v>
      </c>
      <c r="R77">
        <v>0.1042</v>
      </c>
      <c r="S77">
        <v>0.41</v>
      </c>
      <c r="AB77">
        <v>0.1227</v>
      </c>
    </row>
    <row r="78" spans="1:28" hidden="1">
      <c r="A78" s="2" t="s">
        <v>181</v>
      </c>
      <c r="B78" s="2" t="s">
        <v>186</v>
      </c>
      <c r="C78" s="16" t="s">
        <v>64</v>
      </c>
      <c r="D78" s="2" t="s">
        <v>154</v>
      </c>
      <c r="E78" s="2" t="s">
        <v>188</v>
      </c>
      <c r="F78" s="2">
        <v>23</v>
      </c>
      <c r="G78" s="2">
        <v>4532546</v>
      </c>
      <c r="H78" s="2">
        <v>3682072</v>
      </c>
      <c r="I78" s="2">
        <v>2.3E-2</v>
      </c>
      <c r="J78" s="2">
        <v>7.2499999999999995E-2</v>
      </c>
      <c r="K78" s="11">
        <v>0.03</v>
      </c>
      <c r="L78" s="2">
        <v>771347.6</v>
      </c>
      <c r="M78" s="2">
        <v>14693</v>
      </c>
      <c r="N78" s="2">
        <v>2728</v>
      </c>
      <c r="O78" s="2">
        <v>7134</v>
      </c>
      <c r="P78" s="2">
        <v>52.497999999999998</v>
      </c>
      <c r="Q78" s="2">
        <v>39.024000000000001</v>
      </c>
      <c r="R78" s="2">
        <v>9.2499999999999999E-2</v>
      </c>
      <c r="S78">
        <v>0.41</v>
      </c>
      <c r="AB78">
        <v>0.1333</v>
      </c>
    </row>
    <row r="79" spans="1:28">
      <c r="A79" s="2" t="s">
        <v>181</v>
      </c>
      <c r="B79" s="2" t="s">
        <v>186</v>
      </c>
      <c r="C79" s="15" t="s">
        <v>66</v>
      </c>
      <c r="D79" s="2" t="s">
        <v>154</v>
      </c>
      <c r="E79" s="2" t="s">
        <v>189</v>
      </c>
      <c r="F79" s="2">
        <v>23</v>
      </c>
      <c r="G79" s="2">
        <v>4263384</v>
      </c>
      <c r="H79" s="2">
        <v>3410264</v>
      </c>
      <c r="I79" s="2">
        <v>2.4E-2</v>
      </c>
      <c r="J79" s="2">
        <v>7.2499999999999995E-2</v>
      </c>
      <c r="K79" s="11">
        <v>0.03</v>
      </c>
      <c r="L79" s="2">
        <v>736263.8</v>
      </c>
      <c r="M79" s="2">
        <v>15679</v>
      </c>
      <c r="N79" s="3">
        <v>3209</v>
      </c>
      <c r="O79" s="2">
        <v>7148</v>
      </c>
      <c r="P79" s="2">
        <v>46.959000000000003</v>
      </c>
      <c r="Q79" s="2">
        <v>38.655000000000001</v>
      </c>
      <c r="R79" s="2">
        <v>8.2199999999999995E-2</v>
      </c>
      <c r="S79">
        <v>0.41</v>
      </c>
      <c r="T79" s="2"/>
      <c r="U79" s="2"/>
      <c r="V79" s="2"/>
      <c r="W79" s="2"/>
      <c r="X79" s="2"/>
      <c r="Y79" s="2"/>
      <c r="Z79" s="2"/>
      <c r="AA79" s="2"/>
      <c r="AB79">
        <v>0.12189999999999999</v>
      </c>
    </row>
    <row r="80" spans="1:28" hidden="1">
      <c r="A80" t="s">
        <v>190</v>
      </c>
      <c r="B80" t="s">
        <v>191</v>
      </c>
      <c r="C80" s="16" t="s">
        <v>61</v>
      </c>
      <c r="D80" t="s">
        <v>70</v>
      </c>
      <c r="E80" s="2" t="s">
        <v>192</v>
      </c>
      <c r="F80">
        <v>193</v>
      </c>
      <c r="G80">
        <v>60796.919000000002</v>
      </c>
      <c r="H80">
        <v>51542.84</v>
      </c>
      <c r="I80">
        <v>0.02</v>
      </c>
      <c r="J80">
        <v>0.06</v>
      </c>
      <c r="K80" s="11">
        <v>0.03</v>
      </c>
      <c r="L80">
        <v>0</v>
      </c>
      <c r="M80">
        <v>122</v>
      </c>
      <c r="O80">
        <v>179</v>
      </c>
      <c r="P80">
        <v>0</v>
      </c>
      <c r="Q80">
        <v>18.187999999999999</v>
      </c>
    </row>
    <row r="81" spans="1:28" hidden="1">
      <c r="A81" s="2" t="s">
        <v>190</v>
      </c>
      <c r="B81" s="2" t="s">
        <v>191</v>
      </c>
      <c r="C81" s="16" t="s">
        <v>64</v>
      </c>
      <c r="D81" s="2" t="s">
        <v>70</v>
      </c>
      <c r="E81" s="2" t="s">
        <v>193</v>
      </c>
      <c r="F81" s="2">
        <v>193</v>
      </c>
      <c r="G81" s="2">
        <v>65469.05</v>
      </c>
      <c r="H81" s="2">
        <v>56953.13</v>
      </c>
      <c r="I81" s="2">
        <v>2.2499999999999999E-2</v>
      </c>
      <c r="J81" s="2">
        <v>5.6000000000000001E-2</v>
      </c>
      <c r="K81" s="11">
        <v>0.03</v>
      </c>
      <c r="L81" s="2">
        <v>0</v>
      </c>
      <c r="M81" s="2">
        <v>116</v>
      </c>
      <c r="N81" s="2">
        <v>1090</v>
      </c>
      <c r="O81" s="2">
        <v>183</v>
      </c>
      <c r="P81" s="2">
        <v>0</v>
      </c>
      <c r="Q81" s="2">
        <v>17.786000000000001</v>
      </c>
      <c r="R81" s="2"/>
    </row>
    <row r="82" spans="1:28">
      <c r="A82" s="2" t="s">
        <v>190</v>
      </c>
      <c r="B82" s="2" t="s">
        <v>191</v>
      </c>
      <c r="C82" s="15" t="s">
        <v>66</v>
      </c>
      <c r="D82" s="2" t="s">
        <v>70</v>
      </c>
      <c r="E82" s="2" t="s">
        <v>194</v>
      </c>
      <c r="F82" s="2">
        <v>193</v>
      </c>
      <c r="G82" s="2">
        <v>62676.160000000003</v>
      </c>
      <c r="H82" s="2">
        <v>53606.21</v>
      </c>
      <c r="I82" s="2">
        <v>2.2499999999999999E-2</v>
      </c>
      <c r="J82" s="2">
        <v>0.06</v>
      </c>
      <c r="K82" s="11">
        <v>0.03</v>
      </c>
      <c r="L82" s="2">
        <v>0</v>
      </c>
      <c r="M82" s="2">
        <v>119</v>
      </c>
      <c r="N82" s="3">
        <v>977</v>
      </c>
      <c r="O82" s="2">
        <v>181</v>
      </c>
      <c r="P82" s="2">
        <v>0</v>
      </c>
      <c r="Q82" s="2">
        <v>17.859000000000002</v>
      </c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8">
      <c r="A83" s="2" t="s">
        <v>195</v>
      </c>
      <c r="B83" s="2" t="s">
        <v>196</v>
      </c>
      <c r="C83" s="15" t="s">
        <v>66</v>
      </c>
      <c r="D83" s="2" t="s">
        <v>70</v>
      </c>
      <c r="E83" s="2" t="s">
        <v>197</v>
      </c>
      <c r="F83" s="2">
        <v>165</v>
      </c>
      <c r="G83" s="2">
        <v>3026853</v>
      </c>
      <c r="H83" s="2">
        <v>1929171</v>
      </c>
      <c r="I83" s="2">
        <v>2.5000000000000001E-2</v>
      </c>
      <c r="J83" s="2">
        <v>7.3800000000000004E-2</v>
      </c>
      <c r="K83" s="11">
        <v>0.03</v>
      </c>
      <c r="L83" s="2">
        <v>224726.5</v>
      </c>
      <c r="M83" s="2">
        <v>5794</v>
      </c>
      <c r="N83" s="3">
        <v>6</v>
      </c>
      <c r="O83" s="2">
        <v>11871</v>
      </c>
      <c r="P83" s="2">
        <v>48.344000000000001</v>
      </c>
      <c r="Q83" s="2">
        <v>19.902999999999999</v>
      </c>
      <c r="R83" s="2">
        <v>0.22244</v>
      </c>
      <c r="S83" s="2"/>
      <c r="T83" s="2"/>
      <c r="U83" s="2"/>
      <c r="V83" s="2"/>
      <c r="W83" s="2"/>
      <c r="X83" s="2"/>
      <c r="Y83" s="2"/>
      <c r="Z83" s="2"/>
      <c r="AA83" s="2"/>
      <c r="AB83">
        <v>7.7100000000000002E-2</v>
      </c>
    </row>
    <row r="84" spans="1:28" hidden="1">
      <c r="A84" s="2" t="s">
        <v>195</v>
      </c>
      <c r="B84" t="s">
        <v>196</v>
      </c>
      <c r="C84" s="16" t="s">
        <v>61</v>
      </c>
      <c r="D84" t="s">
        <v>70</v>
      </c>
      <c r="E84" s="2" t="s">
        <v>198</v>
      </c>
      <c r="F84">
        <v>165</v>
      </c>
      <c r="G84">
        <v>3065048.2710000002</v>
      </c>
      <c r="H84">
        <v>2036255.9680000001</v>
      </c>
      <c r="I84">
        <v>2.5000000000000001E-2</v>
      </c>
      <c r="J84">
        <v>7.3800000000000004E-2</v>
      </c>
      <c r="K84" s="11">
        <v>0.03</v>
      </c>
      <c r="L84">
        <v>246173.916</v>
      </c>
      <c r="M84">
        <v>5629</v>
      </c>
      <c r="O84">
        <v>11931</v>
      </c>
      <c r="P84">
        <v>46.774000000000001</v>
      </c>
      <c r="Q84">
        <v>20.143000000000001</v>
      </c>
      <c r="R84">
        <v>0.23344000000000001</v>
      </c>
      <c r="AB84">
        <v>7.6300000000000007E-2</v>
      </c>
    </row>
    <row r="85" spans="1:28" hidden="1">
      <c r="A85" s="2" t="s">
        <v>195</v>
      </c>
      <c r="B85" s="2" t="s">
        <v>196</v>
      </c>
      <c r="C85" s="16" t="s">
        <v>64</v>
      </c>
      <c r="D85" s="2" t="s">
        <v>70</v>
      </c>
      <c r="E85" s="2" t="s">
        <v>199</v>
      </c>
      <c r="F85" s="2">
        <v>165</v>
      </c>
      <c r="G85" s="2">
        <v>2904583</v>
      </c>
      <c r="H85" s="2">
        <v>1748663</v>
      </c>
      <c r="I85" s="2">
        <v>2.5000000000000001E-2</v>
      </c>
      <c r="J85" s="11">
        <v>7.0000000000000007E-2</v>
      </c>
      <c r="K85" s="11">
        <v>0.03</v>
      </c>
      <c r="L85" s="2">
        <v>245732.1</v>
      </c>
      <c r="M85" s="2">
        <v>5106</v>
      </c>
      <c r="N85" s="2">
        <v>1813</v>
      </c>
      <c r="O85" s="2">
        <v>11220</v>
      </c>
      <c r="P85" s="2">
        <v>53.155000000000001</v>
      </c>
      <c r="Q85" s="2">
        <v>20.663</v>
      </c>
      <c r="R85" s="2">
        <v>0.22797000000000001</v>
      </c>
      <c r="AB85">
        <v>7.8200000000000006E-2</v>
      </c>
    </row>
    <row r="86" spans="1:28" hidden="1">
      <c r="A86" s="2" t="s">
        <v>195</v>
      </c>
      <c r="B86" t="s">
        <v>200</v>
      </c>
      <c r="C86" s="16" t="s">
        <v>61</v>
      </c>
      <c r="D86" s="2" t="s">
        <v>62</v>
      </c>
      <c r="E86" s="2" t="s">
        <v>201</v>
      </c>
      <c r="F86">
        <v>154</v>
      </c>
      <c r="G86">
        <v>4033386.4879999999</v>
      </c>
      <c r="H86">
        <v>2994275.1910000001</v>
      </c>
      <c r="I86">
        <v>2.5000000000000001E-2</v>
      </c>
      <c r="J86">
        <v>6.7500000000000004E-2</v>
      </c>
      <c r="K86" s="11">
        <v>0.03</v>
      </c>
      <c r="L86">
        <v>145936.144</v>
      </c>
      <c r="M86">
        <v>2575</v>
      </c>
      <c r="O86">
        <v>8935</v>
      </c>
      <c r="P86">
        <v>56.966999999999999</v>
      </c>
      <c r="Q86">
        <v>32.328000000000003</v>
      </c>
      <c r="R86">
        <v>0.125</v>
      </c>
      <c r="AB86">
        <v>0.1739</v>
      </c>
    </row>
    <row r="87" spans="1:28" hidden="1">
      <c r="A87" s="2" t="s">
        <v>195</v>
      </c>
      <c r="B87" s="2" t="s">
        <v>200</v>
      </c>
      <c r="C87" s="16" t="s">
        <v>64</v>
      </c>
      <c r="D87" s="2" t="s">
        <v>62</v>
      </c>
      <c r="E87" s="2" t="s">
        <v>202</v>
      </c>
      <c r="F87" s="2">
        <v>154</v>
      </c>
      <c r="G87" s="2">
        <v>3904132</v>
      </c>
      <c r="H87" s="2">
        <v>2601302</v>
      </c>
      <c r="I87" s="2">
        <v>2.5000000000000001E-2</v>
      </c>
      <c r="J87" s="2">
        <v>7.1499999999999994E-2</v>
      </c>
      <c r="K87" s="11">
        <v>0.03</v>
      </c>
      <c r="L87" s="2">
        <v>150648.29999999999</v>
      </c>
      <c r="M87" s="2">
        <v>2559</v>
      </c>
      <c r="N87" s="2">
        <v>6</v>
      </c>
      <c r="O87" s="2">
        <v>8874</v>
      </c>
      <c r="P87" s="2">
        <v>59.811</v>
      </c>
      <c r="Q87" s="2">
        <v>32.79</v>
      </c>
      <c r="R87" s="2">
        <v>0.1225</v>
      </c>
      <c r="AB87">
        <v>0.1772</v>
      </c>
    </row>
    <row r="88" spans="1:28">
      <c r="A88" s="2" t="s">
        <v>195</v>
      </c>
      <c r="B88" s="2" t="s">
        <v>200</v>
      </c>
      <c r="C88" s="15" t="s">
        <v>66</v>
      </c>
      <c r="D88" s="2" t="s">
        <v>62</v>
      </c>
      <c r="E88" s="2" t="s">
        <v>203</v>
      </c>
      <c r="F88" s="2">
        <v>154</v>
      </c>
      <c r="G88" s="2">
        <v>3999736</v>
      </c>
      <c r="H88" s="2">
        <v>2829811</v>
      </c>
      <c r="I88" s="2">
        <v>2.5000000000000001E-2</v>
      </c>
      <c r="J88" s="2">
        <v>6.7500000000000004E-2</v>
      </c>
      <c r="K88" s="11">
        <v>0.03</v>
      </c>
      <c r="L88" s="2">
        <v>133730.1</v>
      </c>
      <c r="M88" s="2">
        <v>2488</v>
      </c>
      <c r="N88" s="3">
        <v>1707</v>
      </c>
      <c r="O88" s="2">
        <v>8893</v>
      </c>
      <c r="P88" s="2">
        <v>60.305999999999997</v>
      </c>
      <c r="Q88" s="2">
        <v>32.637</v>
      </c>
      <c r="R88" s="2">
        <v>0.1225</v>
      </c>
      <c r="S88" s="2"/>
      <c r="T88" s="2"/>
      <c r="U88" s="2"/>
      <c r="V88" s="2"/>
      <c r="W88" s="2"/>
      <c r="X88" s="2"/>
      <c r="Y88" s="2"/>
      <c r="Z88" s="2"/>
      <c r="AA88" s="2"/>
      <c r="AB88">
        <v>0.1779</v>
      </c>
    </row>
    <row r="89" spans="1:28" hidden="1">
      <c r="A89" s="2" t="s">
        <v>204</v>
      </c>
      <c r="B89" t="s">
        <v>205</v>
      </c>
      <c r="C89" s="16" t="s">
        <v>61</v>
      </c>
      <c r="D89" t="s">
        <v>154</v>
      </c>
      <c r="E89" s="2" t="s">
        <v>206</v>
      </c>
      <c r="F89">
        <v>24</v>
      </c>
      <c r="K89" s="11">
        <v>0.03</v>
      </c>
      <c r="AB89" s="6"/>
    </row>
    <row r="90" spans="1:28" hidden="1">
      <c r="A90" s="2" t="s">
        <v>204</v>
      </c>
      <c r="B90" s="2" t="s">
        <v>205</v>
      </c>
      <c r="C90" s="16" t="s">
        <v>64</v>
      </c>
      <c r="D90" s="2" t="s">
        <v>154</v>
      </c>
      <c r="E90" s="2" t="s">
        <v>207</v>
      </c>
      <c r="F90" s="2">
        <v>24</v>
      </c>
      <c r="G90" s="11"/>
      <c r="H90" s="11"/>
      <c r="I90" s="11">
        <v>2.5000000000000001E-2</v>
      </c>
      <c r="J90" s="11">
        <v>7.0000000000000007E-2</v>
      </c>
      <c r="K90" s="11">
        <v>0.03</v>
      </c>
      <c r="L90" s="11"/>
      <c r="M90" s="11"/>
      <c r="N90" s="2">
        <v>273</v>
      </c>
      <c r="O90" s="11"/>
      <c r="P90" s="11"/>
      <c r="Q90" s="11"/>
      <c r="R90" s="11"/>
      <c r="AB90" s="6"/>
    </row>
    <row r="91" spans="1:28">
      <c r="A91" s="2" t="s">
        <v>204</v>
      </c>
      <c r="B91" s="2" t="s">
        <v>205</v>
      </c>
      <c r="C91" s="15" t="s">
        <v>66</v>
      </c>
      <c r="D91" s="2" t="s">
        <v>154</v>
      </c>
      <c r="E91" s="2" t="s">
        <v>208</v>
      </c>
      <c r="F91" s="2">
        <v>24</v>
      </c>
      <c r="G91" s="11"/>
      <c r="H91" s="11"/>
      <c r="I91" s="11">
        <v>2.5000000000000001E-2</v>
      </c>
      <c r="J91" s="11">
        <v>7.0000000000000007E-2</v>
      </c>
      <c r="K91" s="11">
        <v>0.03</v>
      </c>
      <c r="L91" s="11"/>
      <c r="M91" s="11"/>
      <c r="N91" s="3">
        <v>264</v>
      </c>
      <c r="O91" s="11"/>
      <c r="P91" s="11"/>
      <c r="Q91" s="11"/>
      <c r="R91" s="11"/>
      <c r="S91" s="2"/>
      <c r="T91" s="2"/>
      <c r="U91" s="2"/>
      <c r="V91" s="2"/>
      <c r="W91" s="2"/>
      <c r="X91" s="2"/>
      <c r="Y91" s="2"/>
      <c r="Z91" s="2"/>
      <c r="AA91" s="2"/>
      <c r="AB91" s="6"/>
    </row>
    <row r="92" spans="1:28" hidden="1">
      <c r="A92" t="s">
        <v>209</v>
      </c>
      <c r="B92" s="2" t="s">
        <v>210</v>
      </c>
      <c r="C92" s="16" t="s">
        <v>61</v>
      </c>
      <c r="D92" t="s">
        <v>80</v>
      </c>
      <c r="E92" t="s">
        <v>211</v>
      </c>
      <c r="F92" s="2">
        <v>21</v>
      </c>
      <c r="G92" s="2">
        <v>75095.34</v>
      </c>
      <c r="H92" s="2">
        <v>58589.68</v>
      </c>
      <c r="I92" s="2">
        <v>2.75E-2</v>
      </c>
      <c r="J92" s="4"/>
      <c r="K92" s="11">
        <v>0.03</v>
      </c>
      <c r="L92" s="2">
        <v>12669.72</v>
      </c>
      <c r="M92" s="2">
        <v>195</v>
      </c>
      <c r="N92" s="2">
        <v>12</v>
      </c>
      <c r="O92" s="2">
        <v>116</v>
      </c>
      <c r="P92" s="2">
        <v>37.65</v>
      </c>
      <c r="Q92" s="2">
        <v>66.099999999999994</v>
      </c>
      <c r="R92" s="2">
        <v>0.14199999999999999</v>
      </c>
      <c r="AB92" s="2">
        <v>0.17580000000000001</v>
      </c>
    </row>
    <row r="93" spans="1:28" hidden="1">
      <c r="A93" t="s">
        <v>209</v>
      </c>
      <c r="B93" s="2" t="s">
        <v>212</v>
      </c>
      <c r="C93" s="16" t="s">
        <v>61</v>
      </c>
      <c r="D93" t="s">
        <v>75</v>
      </c>
      <c r="E93" t="s">
        <v>213</v>
      </c>
      <c r="F93" s="2">
        <v>73</v>
      </c>
      <c r="G93" s="2">
        <v>40526.31</v>
      </c>
      <c r="H93" s="2">
        <v>24874</v>
      </c>
      <c r="I93" s="2">
        <v>2.5000000000000001E-2</v>
      </c>
      <c r="J93" s="4"/>
      <c r="K93" s="11">
        <v>0.03</v>
      </c>
      <c r="L93" s="2">
        <v>7966.0820000000003</v>
      </c>
      <c r="M93" s="2">
        <v>119</v>
      </c>
      <c r="N93" s="2">
        <v>5</v>
      </c>
      <c r="O93" s="2">
        <v>95</v>
      </c>
      <c r="P93" s="11"/>
      <c r="Q93" s="11"/>
      <c r="R93" s="11"/>
      <c r="AB93" s="2"/>
    </row>
    <row r="94" spans="1:28" hidden="1">
      <c r="A94" t="s">
        <v>214</v>
      </c>
      <c r="B94" s="2" t="s">
        <v>215</v>
      </c>
      <c r="C94" s="16" t="s">
        <v>61</v>
      </c>
      <c r="D94" t="s">
        <v>62</v>
      </c>
      <c r="E94" t="s">
        <v>216</v>
      </c>
      <c r="F94" s="2">
        <v>39</v>
      </c>
      <c r="G94" s="2">
        <v>1194731</v>
      </c>
      <c r="H94" s="2">
        <v>1437725</v>
      </c>
      <c r="I94" s="2">
        <v>0.03</v>
      </c>
      <c r="J94" s="4"/>
      <c r="K94" s="11">
        <v>0.03</v>
      </c>
      <c r="L94" s="2">
        <v>110972</v>
      </c>
      <c r="M94" s="2">
        <v>1043</v>
      </c>
      <c r="N94" s="2">
        <v>115</v>
      </c>
      <c r="O94" s="2">
        <v>1066</v>
      </c>
      <c r="P94" s="2">
        <v>40</v>
      </c>
      <c r="Q94" s="2">
        <v>67</v>
      </c>
      <c r="R94" s="2">
        <v>0.19589999999999999</v>
      </c>
      <c r="AB94" s="2">
        <v>0.32500000000000001</v>
      </c>
    </row>
    <row r="95" spans="1:28" hidden="1">
      <c r="A95" s="2" t="s">
        <v>217</v>
      </c>
      <c r="B95" t="s">
        <v>218</v>
      </c>
      <c r="C95" s="16" t="s">
        <v>61</v>
      </c>
      <c r="D95" s="2" t="s">
        <v>75</v>
      </c>
      <c r="E95" s="2" t="s">
        <v>219</v>
      </c>
      <c r="F95">
        <v>194</v>
      </c>
      <c r="G95">
        <v>58792.713000000003</v>
      </c>
      <c r="H95">
        <v>50093.025999999998</v>
      </c>
      <c r="I95">
        <v>3.7499999999999999E-2</v>
      </c>
      <c r="J95">
        <v>7.0000000000000007E-2</v>
      </c>
      <c r="K95" s="11">
        <v>0.03</v>
      </c>
      <c r="L95">
        <v>8247.5709999999999</v>
      </c>
      <c r="M95">
        <v>153</v>
      </c>
      <c r="O95">
        <v>108</v>
      </c>
      <c r="P95">
        <v>53.905999999999999</v>
      </c>
      <c r="Q95">
        <v>33.576000000000001</v>
      </c>
      <c r="R95">
        <v>0.16885</v>
      </c>
    </row>
    <row r="96" spans="1:28" hidden="1">
      <c r="A96" s="2" t="s">
        <v>217</v>
      </c>
      <c r="B96" s="2" t="s">
        <v>218</v>
      </c>
      <c r="C96" s="16" t="s">
        <v>64</v>
      </c>
      <c r="D96" s="2" t="s">
        <v>75</v>
      </c>
      <c r="E96" s="2" t="s">
        <v>220</v>
      </c>
      <c r="F96" s="2">
        <v>194</v>
      </c>
      <c r="G96" s="2">
        <v>61765.1</v>
      </c>
      <c r="H96" s="2">
        <v>55227.42</v>
      </c>
      <c r="I96" s="2">
        <v>3.7499999999999999E-2</v>
      </c>
      <c r="J96" s="2">
        <v>7.0000000000000007E-2</v>
      </c>
      <c r="K96" s="11">
        <v>0.03</v>
      </c>
      <c r="L96" s="2">
        <v>8506.1810000000005</v>
      </c>
      <c r="M96" s="2">
        <v>153</v>
      </c>
      <c r="N96" s="2">
        <v>141</v>
      </c>
      <c r="O96" s="2">
        <v>114</v>
      </c>
      <c r="P96" s="2">
        <v>55.595999999999997</v>
      </c>
      <c r="Q96" s="2">
        <v>35.676000000000002</v>
      </c>
      <c r="R96" s="2"/>
    </row>
    <row r="97" spans="1:28">
      <c r="A97" s="2" t="s">
        <v>217</v>
      </c>
      <c r="B97" s="2" t="s">
        <v>218</v>
      </c>
      <c r="C97" s="15" t="s">
        <v>66</v>
      </c>
      <c r="D97" s="2" t="s">
        <v>75</v>
      </c>
      <c r="E97" s="2" t="s">
        <v>221</v>
      </c>
      <c r="F97" s="2">
        <v>194</v>
      </c>
      <c r="G97" s="2">
        <v>60135.86</v>
      </c>
      <c r="H97" s="2">
        <v>52951.94</v>
      </c>
      <c r="I97" s="2">
        <v>3.7499999999999999E-2</v>
      </c>
      <c r="J97" s="2">
        <v>7.0000000000000007E-2</v>
      </c>
      <c r="K97" s="11">
        <v>0.03</v>
      </c>
      <c r="L97" s="2">
        <v>8424.223</v>
      </c>
      <c r="M97" s="2">
        <v>154</v>
      </c>
      <c r="N97" s="3">
        <v>11</v>
      </c>
      <c r="O97" s="2">
        <v>112</v>
      </c>
      <c r="P97" s="2">
        <v>54.703000000000003</v>
      </c>
      <c r="Q97" s="2">
        <v>34.752000000000002</v>
      </c>
      <c r="R97" s="2">
        <v>0.16885</v>
      </c>
      <c r="S97" s="2"/>
      <c r="T97" s="2"/>
      <c r="U97" s="2"/>
      <c r="V97" s="2"/>
      <c r="W97" s="2"/>
      <c r="X97" s="2"/>
      <c r="Y97" s="2"/>
      <c r="Z97" s="2"/>
      <c r="AA97" s="2"/>
    </row>
    <row r="98" spans="1:28" hidden="1">
      <c r="A98" t="s">
        <v>222</v>
      </c>
      <c r="B98" t="s">
        <v>223</v>
      </c>
      <c r="C98" s="16" t="s">
        <v>61</v>
      </c>
      <c r="D98" t="s">
        <v>70</v>
      </c>
      <c r="E98" s="2" t="s">
        <v>224</v>
      </c>
      <c r="F98">
        <v>170</v>
      </c>
      <c r="G98">
        <v>1476269</v>
      </c>
      <c r="H98">
        <v>1079688.925</v>
      </c>
      <c r="I98">
        <v>2.5000000000000001E-2</v>
      </c>
      <c r="J98">
        <v>7.4999999999999997E-2</v>
      </c>
      <c r="K98" s="11">
        <v>0.03</v>
      </c>
      <c r="L98">
        <v>145103.092</v>
      </c>
      <c r="M98">
        <v>2078</v>
      </c>
      <c r="O98">
        <v>3178</v>
      </c>
      <c r="P98">
        <v>69.828000000000003</v>
      </c>
      <c r="Q98">
        <v>35.484000000000002</v>
      </c>
      <c r="R98">
        <v>0.314</v>
      </c>
      <c r="AB98">
        <v>0.14634</v>
      </c>
    </row>
    <row r="99" spans="1:28" hidden="1">
      <c r="A99" s="2" t="s">
        <v>222</v>
      </c>
      <c r="B99" s="2" t="s">
        <v>223</v>
      </c>
      <c r="C99" s="16" t="s">
        <v>64</v>
      </c>
      <c r="D99" s="2" t="s">
        <v>70</v>
      </c>
      <c r="E99" s="2" t="s">
        <v>225</v>
      </c>
      <c r="F99" s="2">
        <v>170</v>
      </c>
      <c r="G99" s="2">
        <v>1593662</v>
      </c>
      <c r="H99" s="2">
        <v>1059232</v>
      </c>
      <c r="I99" s="2">
        <v>2.4E-2</v>
      </c>
      <c r="J99" s="2">
        <v>7.2499999999999995E-2</v>
      </c>
      <c r="K99" s="11">
        <v>0.03</v>
      </c>
      <c r="L99" s="2">
        <v>147405</v>
      </c>
      <c r="M99" s="2">
        <v>2122</v>
      </c>
      <c r="N99" s="2">
        <v>7059</v>
      </c>
      <c r="O99" s="2">
        <v>3231</v>
      </c>
      <c r="P99" s="2">
        <v>69.465000000000003</v>
      </c>
      <c r="Q99" s="2">
        <v>36.314</v>
      </c>
      <c r="R99" s="2">
        <v>0.36840000000000001</v>
      </c>
      <c r="AB99">
        <v>0.15089</v>
      </c>
    </row>
    <row r="100" spans="1:28">
      <c r="A100" s="2" t="s">
        <v>222</v>
      </c>
      <c r="B100" s="2" t="s">
        <v>223</v>
      </c>
      <c r="C100" s="15" t="s">
        <v>66</v>
      </c>
      <c r="D100" s="2" t="s">
        <v>70</v>
      </c>
      <c r="E100" s="2" t="s">
        <v>226</v>
      </c>
      <c r="F100" s="2">
        <v>170</v>
      </c>
      <c r="G100" s="2">
        <v>1503521</v>
      </c>
      <c r="H100" s="2">
        <v>1068807</v>
      </c>
      <c r="I100" s="2">
        <v>2.5000000000000001E-2</v>
      </c>
      <c r="J100" s="2">
        <v>7.3749999999999996E-2</v>
      </c>
      <c r="K100" s="11">
        <v>0.03</v>
      </c>
      <c r="L100" s="2">
        <v>147708.6</v>
      </c>
      <c r="M100" s="2">
        <v>2110</v>
      </c>
      <c r="N100" s="3">
        <v>6652</v>
      </c>
      <c r="O100" s="2">
        <v>3193</v>
      </c>
      <c r="P100" s="2">
        <v>70.004000000000005</v>
      </c>
      <c r="Q100" s="2">
        <v>36.417999999999999</v>
      </c>
      <c r="R100" s="2">
        <v>0.33660000000000001</v>
      </c>
      <c r="S100" s="2"/>
      <c r="T100" s="2"/>
      <c r="U100" s="2"/>
      <c r="V100" s="2"/>
      <c r="W100" s="2"/>
      <c r="X100" s="2"/>
      <c r="Y100" s="2"/>
      <c r="Z100" s="2"/>
      <c r="AA100" s="2"/>
      <c r="AB100">
        <v>0.14168</v>
      </c>
    </row>
    <row r="101" spans="1:28" hidden="1">
      <c r="A101" s="2" t="s">
        <v>227</v>
      </c>
      <c r="B101" t="s">
        <v>228</v>
      </c>
      <c r="C101" s="16" t="s">
        <v>61</v>
      </c>
      <c r="D101" s="2" t="s">
        <v>75</v>
      </c>
      <c r="E101" s="2" t="s">
        <v>229</v>
      </c>
      <c r="F101">
        <v>30</v>
      </c>
      <c r="G101">
        <v>4948133</v>
      </c>
      <c r="H101">
        <v>4027079</v>
      </c>
      <c r="I101">
        <v>0.03</v>
      </c>
      <c r="K101" s="11">
        <v>0.03</v>
      </c>
      <c r="L101">
        <v>260301</v>
      </c>
      <c r="M101">
        <v>4041</v>
      </c>
      <c r="O101">
        <v>3307</v>
      </c>
      <c r="P101">
        <v>64.415000000000006</v>
      </c>
      <c r="Q101">
        <v>51.207999999999998</v>
      </c>
      <c r="R101">
        <v>0.37159999999999999</v>
      </c>
      <c r="AB101">
        <v>0.27589999999999998</v>
      </c>
    </row>
    <row r="102" spans="1:28" hidden="1">
      <c r="A102" s="2" t="s">
        <v>227</v>
      </c>
      <c r="B102" s="2" t="s">
        <v>228</v>
      </c>
      <c r="C102" s="16" t="s">
        <v>64</v>
      </c>
      <c r="D102" s="2" t="s">
        <v>75</v>
      </c>
      <c r="E102" s="2" t="s">
        <v>230</v>
      </c>
      <c r="F102" s="2">
        <v>30</v>
      </c>
      <c r="G102" s="2">
        <v>4932307</v>
      </c>
      <c r="H102" s="2">
        <v>4251851</v>
      </c>
      <c r="I102" s="2">
        <v>2.5000000000000001E-2</v>
      </c>
      <c r="J102" s="2">
        <v>7.2499999999999995E-2</v>
      </c>
      <c r="K102" s="11">
        <v>0.03</v>
      </c>
      <c r="L102" s="2">
        <v>259235</v>
      </c>
      <c r="M102" s="2">
        <v>3703</v>
      </c>
      <c r="N102" s="2">
        <v>49</v>
      </c>
      <c r="O102" s="2">
        <v>3410</v>
      </c>
      <c r="P102" s="2">
        <v>65.983000000000004</v>
      </c>
      <c r="Q102" s="2">
        <v>52.508000000000003</v>
      </c>
      <c r="R102" s="2">
        <v>0.308</v>
      </c>
      <c r="AB102">
        <v>0.25390000000000001</v>
      </c>
    </row>
    <row r="103" spans="1:28">
      <c r="A103" s="2" t="s">
        <v>227</v>
      </c>
      <c r="B103" s="2" t="s">
        <v>228</v>
      </c>
      <c r="C103" s="15" t="s">
        <v>66</v>
      </c>
      <c r="D103" s="2" t="s">
        <v>75</v>
      </c>
      <c r="E103" s="2" t="s">
        <v>231</v>
      </c>
      <c r="F103" s="2">
        <v>30</v>
      </c>
      <c r="G103" s="2">
        <v>5057759</v>
      </c>
      <c r="H103" s="2">
        <v>4190934</v>
      </c>
      <c r="I103" s="2">
        <v>0.03</v>
      </c>
      <c r="J103" s="2">
        <v>7.2499999999999995E-2</v>
      </c>
      <c r="K103" s="11">
        <v>0.03</v>
      </c>
      <c r="L103" s="2">
        <v>272498</v>
      </c>
      <c r="M103" s="2">
        <v>3914</v>
      </c>
      <c r="N103" s="3">
        <v>43</v>
      </c>
      <c r="O103" s="2">
        <v>3526</v>
      </c>
      <c r="P103" s="2">
        <v>69.620999999999995</v>
      </c>
      <c r="Q103" s="2">
        <v>51.847999999999999</v>
      </c>
      <c r="R103" s="2">
        <v>0.36249999999999999</v>
      </c>
      <c r="S103" s="2"/>
      <c r="T103" s="2"/>
      <c r="U103" s="2"/>
      <c r="V103" s="2"/>
      <c r="W103" s="2"/>
      <c r="X103" s="2"/>
      <c r="Y103" s="2"/>
      <c r="Z103" s="2"/>
      <c r="AA103" s="2"/>
      <c r="AB103">
        <v>0.27650000000000002</v>
      </c>
    </row>
    <row r="104" spans="1:28">
      <c r="A104" s="2" t="s">
        <v>227</v>
      </c>
      <c r="B104" s="2" t="s">
        <v>232</v>
      </c>
      <c r="C104" s="15" t="s">
        <v>66</v>
      </c>
      <c r="D104" s="2" t="s">
        <v>70</v>
      </c>
      <c r="E104" s="2" t="s">
        <v>233</v>
      </c>
      <c r="F104" s="2">
        <v>204</v>
      </c>
      <c r="G104" s="2">
        <v>5091145</v>
      </c>
      <c r="H104" s="2">
        <v>3019255</v>
      </c>
      <c r="I104" s="2">
        <v>2.2499999999999999E-2</v>
      </c>
      <c r="J104" s="2">
        <v>7.0000000000000007E-2</v>
      </c>
      <c r="K104" s="11">
        <v>0.03</v>
      </c>
      <c r="L104" s="2">
        <v>636463</v>
      </c>
      <c r="M104" s="2">
        <v>11507</v>
      </c>
      <c r="N104" s="3">
        <v>82</v>
      </c>
      <c r="O104" s="2">
        <v>11110</v>
      </c>
      <c r="P104" s="2">
        <v>55.311</v>
      </c>
      <c r="Q104" s="2">
        <v>23.609000000000002</v>
      </c>
      <c r="R104" s="2">
        <v>0.28804000000000002</v>
      </c>
      <c r="S104" s="2"/>
      <c r="T104" s="2"/>
      <c r="U104" s="2"/>
      <c r="V104" s="2"/>
      <c r="W104" s="2"/>
      <c r="X104" s="2"/>
      <c r="Y104" s="2"/>
      <c r="Z104" s="2"/>
      <c r="AA104" s="2"/>
      <c r="AB104">
        <v>0.114</v>
      </c>
    </row>
    <row r="105" spans="1:28" hidden="1">
      <c r="A105" s="2" t="s">
        <v>227</v>
      </c>
      <c r="B105" t="s">
        <v>232</v>
      </c>
      <c r="C105" s="16" t="s">
        <v>61</v>
      </c>
      <c r="D105" t="s">
        <v>70</v>
      </c>
      <c r="E105" s="2" t="s">
        <v>234</v>
      </c>
      <c r="F105">
        <v>204</v>
      </c>
      <c r="G105">
        <v>4982008</v>
      </c>
      <c r="H105">
        <v>2874585</v>
      </c>
      <c r="I105">
        <v>2.2499999999999999E-2</v>
      </c>
      <c r="J105">
        <v>7.0000000000000007E-2</v>
      </c>
      <c r="K105" s="11">
        <v>0.03</v>
      </c>
      <c r="L105">
        <v>624266</v>
      </c>
      <c r="M105">
        <v>11880</v>
      </c>
      <c r="O105">
        <v>10834</v>
      </c>
      <c r="P105">
        <v>52.548000000000002</v>
      </c>
      <c r="Q105">
        <v>23.428000000000001</v>
      </c>
      <c r="R105">
        <v>0.28783999999999998</v>
      </c>
      <c r="AB105">
        <v>0.1132</v>
      </c>
    </row>
    <row r="106" spans="1:28" hidden="1">
      <c r="A106" s="2" t="s">
        <v>227</v>
      </c>
      <c r="B106" s="2" t="s">
        <v>232</v>
      </c>
      <c r="C106" s="16" t="s">
        <v>64</v>
      </c>
      <c r="D106" s="2" t="s">
        <v>70</v>
      </c>
      <c r="E106" s="2" t="s">
        <v>235</v>
      </c>
      <c r="F106" s="2">
        <v>204</v>
      </c>
      <c r="G106" s="2">
        <v>5196347</v>
      </c>
      <c r="H106" s="2">
        <v>3074339</v>
      </c>
      <c r="I106" s="2">
        <v>2.2499999999999999E-2</v>
      </c>
      <c r="J106" s="2">
        <v>7.0000000000000007E-2</v>
      </c>
      <c r="K106" s="11">
        <v>0.03</v>
      </c>
      <c r="L106" s="2">
        <v>657876</v>
      </c>
      <c r="M106" s="2">
        <v>11594</v>
      </c>
      <c r="N106" s="2">
        <v>83</v>
      </c>
      <c r="O106" s="2">
        <v>11373</v>
      </c>
      <c r="P106" s="2">
        <v>56.743000000000002</v>
      </c>
      <c r="Q106" s="2">
        <v>23.683</v>
      </c>
      <c r="R106" s="2">
        <v>0.27809</v>
      </c>
      <c r="AB106">
        <v>0.1144</v>
      </c>
    </row>
    <row r="107" spans="1:28">
      <c r="A107" s="2" t="s">
        <v>227</v>
      </c>
      <c r="B107" s="2" t="s">
        <v>236</v>
      </c>
      <c r="C107" s="15" t="s">
        <v>66</v>
      </c>
      <c r="D107" s="2" t="s">
        <v>80</v>
      </c>
      <c r="E107" s="2" t="s">
        <v>237</v>
      </c>
      <c r="F107" s="2">
        <v>208</v>
      </c>
      <c r="G107" s="2">
        <v>6655143</v>
      </c>
      <c r="H107" s="2">
        <v>5434933</v>
      </c>
      <c r="I107" s="2">
        <v>2.75E-2</v>
      </c>
      <c r="J107" s="2">
        <v>7.0000000000000007E-2</v>
      </c>
      <c r="K107" s="11">
        <v>0.03</v>
      </c>
      <c r="L107" s="2">
        <v>454696</v>
      </c>
      <c r="M107" s="2">
        <v>5282</v>
      </c>
      <c r="N107" s="3">
        <v>196</v>
      </c>
      <c r="O107" s="2">
        <v>4494</v>
      </c>
      <c r="P107" s="2">
        <v>86.084000000000003</v>
      </c>
      <c r="Q107" s="2">
        <v>52.097999999999999</v>
      </c>
      <c r="R107" s="2">
        <v>0.31840000000000002</v>
      </c>
      <c r="S107" s="2"/>
      <c r="T107" s="2"/>
      <c r="U107" s="2"/>
      <c r="V107" s="2"/>
      <c r="W107" s="2"/>
      <c r="X107" s="2"/>
      <c r="Y107" s="2"/>
      <c r="Z107" s="2"/>
      <c r="AA107" s="2"/>
      <c r="AB107">
        <v>0.2397</v>
      </c>
    </row>
    <row r="108" spans="1:28" hidden="1">
      <c r="A108" s="2" t="s">
        <v>227</v>
      </c>
      <c r="B108" t="s">
        <v>236</v>
      </c>
      <c r="C108" s="16" t="s">
        <v>61</v>
      </c>
      <c r="D108" s="2" t="s">
        <v>80</v>
      </c>
      <c r="E108" s="2" t="s">
        <v>238</v>
      </c>
      <c r="F108">
        <v>208</v>
      </c>
      <c r="G108">
        <v>6463872</v>
      </c>
      <c r="H108">
        <v>5128835</v>
      </c>
      <c r="I108">
        <v>2.75E-2</v>
      </c>
      <c r="K108" s="11">
        <v>0.03</v>
      </c>
      <c r="L108">
        <v>438396</v>
      </c>
      <c r="M108">
        <v>5226</v>
      </c>
      <c r="N108" s="2">
        <v>29</v>
      </c>
      <c r="O108">
        <v>4367</v>
      </c>
      <c r="P108">
        <v>83.887</v>
      </c>
      <c r="Q108">
        <v>51.814</v>
      </c>
      <c r="R108">
        <v>0.31819999999999998</v>
      </c>
      <c r="AB108">
        <v>0.24010000000000001</v>
      </c>
    </row>
    <row r="109" spans="1:28" hidden="1">
      <c r="A109" s="2" t="s">
        <v>227</v>
      </c>
      <c r="B109" s="2" t="s">
        <v>236</v>
      </c>
      <c r="C109" s="16" t="s">
        <v>64</v>
      </c>
      <c r="D109" s="2" t="s">
        <v>80</v>
      </c>
      <c r="E109" s="2" t="s">
        <v>239</v>
      </c>
      <c r="F109" s="2">
        <v>208</v>
      </c>
      <c r="G109" s="2">
        <v>6835682</v>
      </c>
      <c r="H109" s="2">
        <v>5631533</v>
      </c>
      <c r="I109" s="2">
        <v>2.75E-2</v>
      </c>
      <c r="J109" s="2">
        <v>7.0000000000000007E-2</v>
      </c>
      <c r="K109" s="11">
        <v>0.03</v>
      </c>
      <c r="L109" s="2">
        <v>471903</v>
      </c>
      <c r="M109" s="2">
        <v>5319</v>
      </c>
      <c r="N109" s="2">
        <v>156</v>
      </c>
      <c r="O109" s="2">
        <v>4622</v>
      </c>
      <c r="P109" s="2">
        <v>88.72</v>
      </c>
      <c r="Q109" s="2">
        <v>52.674999999999997</v>
      </c>
      <c r="R109" s="2">
        <v>0.31919999999999998</v>
      </c>
      <c r="AB109">
        <v>0.23980000000000001</v>
      </c>
    </row>
    <row r="110" spans="1:28" hidden="1">
      <c r="A110" t="s">
        <v>240</v>
      </c>
      <c r="B110" t="s">
        <v>241</v>
      </c>
      <c r="C110" s="16" t="s">
        <v>61</v>
      </c>
      <c r="D110" t="s">
        <v>70</v>
      </c>
      <c r="E110" s="2" t="s">
        <v>242</v>
      </c>
      <c r="F110">
        <v>159</v>
      </c>
      <c r="G110">
        <v>3196680.5159999998</v>
      </c>
      <c r="H110">
        <v>2021056.3060000001</v>
      </c>
      <c r="I110">
        <v>2.75E-2</v>
      </c>
      <c r="J110">
        <v>7.0000000000000007E-2</v>
      </c>
      <c r="K110" s="11">
        <v>0.03</v>
      </c>
      <c r="L110">
        <v>253982.17499999999</v>
      </c>
      <c r="M110">
        <v>4234</v>
      </c>
      <c r="O110">
        <v>5176</v>
      </c>
      <c r="P110">
        <v>59.985999999999997</v>
      </c>
      <c r="Q110">
        <v>35.026000000000003</v>
      </c>
      <c r="R110">
        <v>0.39029999999999998</v>
      </c>
      <c r="S110">
        <v>0.66</v>
      </c>
      <c r="V110" s="2"/>
      <c r="AB110">
        <v>0.15479999999999999</v>
      </c>
    </row>
    <row r="111" spans="1:28" hidden="1">
      <c r="A111" s="2" t="s">
        <v>240</v>
      </c>
      <c r="B111" s="2" t="s">
        <v>241</v>
      </c>
      <c r="C111" s="16" t="s">
        <v>64</v>
      </c>
      <c r="D111" s="2" t="s">
        <v>70</v>
      </c>
      <c r="E111" s="2" t="s">
        <v>243</v>
      </c>
      <c r="F111" s="2">
        <v>159</v>
      </c>
      <c r="G111" s="2">
        <v>3389704</v>
      </c>
      <c r="H111" s="2">
        <v>2042780</v>
      </c>
      <c r="I111" s="11">
        <v>2.5000000000000001E-2</v>
      </c>
      <c r="J111" s="2">
        <v>6.9000000000000006E-2</v>
      </c>
      <c r="K111" s="11">
        <v>0.03</v>
      </c>
      <c r="L111" s="2">
        <v>246864.1</v>
      </c>
      <c r="M111" s="2">
        <v>3663</v>
      </c>
      <c r="N111" s="2">
        <v>19</v>
      </c>
      <c r="O111" s="2">
        <v>5218</v>
      </c>
      <c r="P111" s="2">
        <v>67.394000000000005</v>
      </c>
      <c r="Q111" s="2">
        <v>35.712000000000003</v>
      </c>
      <c r="R111" s="2">
        <v>0.45979999999999999</v>
      </c>
      <c r="AB111">
        <v>0.16209999999999999</v>
      </c>
    </row>
    <row r="112" spans="1:28">
      <c r="A112" s="2" t="s">
        <v>240</v>
      </c>
      <c r="B112" s="2" t="s">
        <v>241</v>
      </c>
      <c r="C112" s="15" t="s">
        <v>66</v>
      </c>
      <c r="D112" s="2" t="s">
        <v>70</v>
      </c>
      <c r="E112" s="2" t="s">
        <v>244</v>
      </c>
      <c r="F112" s="2">
        <v>159</v>
      </c>
      <c r="G112" s="2">
        <v>3286313</v>
      </c>
      <c r="H112" s="2">
        <v>2008173</v>
      </c>
      <c r="I112" s="2">
        <v>2.5000000000000001E-2</v>
      </c>
      <c r="J112" s="2">
        <v>6.9000000000000006E-2</v>
      </c>
      <c r="K112" s="11">
        <v>0.03</v>
      </c>
      <c r="L112" s="2">
        <v>249982.9</v>
      </c>
      <c r="M112" s="2">
        <v>3937</v>
      </c>
      <c r="N112" s="3">
        <v>0</v>
      </c>
      <c r="O112" s="2">
        <v>5215</v>
      </c>
      <c r="P112" s="2">
        <v>63.496000000000002</v>
      </c>
      <c r="Q112" s="2">
        <v>36.095999999999997</v>
      </c>
      <c r="R112" s="2">
        <v>0.4279</v>
      </c>
      <c r="S112" s="2"/>
      <c r="T112" s="2"/>
      <c r="U112" s="2"/>
      <c r="V112" s="2"/>
      <c r="W112" s="2"/>
      <c r="X112" s="2"/>
      <c r="Y112" s="2"/>
      <c r="Z112" s="2"/>
      <c r="AA112" s="2"/>
      <c r="AB112">
        <v>0.1575</v>
      </c>
    </row>
    <row r="113" spans="1:28">
      <c r="A113" s="2" t="s">
        <v>240</v>
      </c>
      <c r="B113" s="2" t="s">
        <v>245</v>
      </c>
      <c r="C113" s="15" t="s">
        <v>66</v>
      </c>
      <c r="D113" s="2" t="s">
        <v>62</v>
      </c>
      <c r="E113" s="2" t="s">
        <v>246</v>
      </c>
      <c r="F113" s="2">
        <v>212</v>
      </c>
      <c r="G113" s="2">
        <v>4036925</v>
      </c>
      <c r="H113" s="2">
        <v>1946967</v>
      </c>
      <c r="I113" s="2">
        <v>2.5000000000000001E-2</v>
      </c>
      <c r="J113" s="2">
        <v>7.0000000000000007E-2</v>
      </c>
      <c r="K113" s="11">
        <v>0.03</v>
      </c>
      <c r="L113" s="2">
        <v>174125</v>
      </c>
      <c r="M113" s="2">
        <v>2301</v>
      </c>
      <c r="N113" s="3">
        <v>526</v>
      </c>
      <c r="O113" s="2">
        <v>3045</v>
      </c>
      <c r="P113" s="2">
        <v>75.921000000000006</v>
      </c>
      <c r="Q113" s="2">
        <v>63.365000000000002</v>
      </c>
      <c r="R113" s="2">
        <v>0.8327</v>
      </c>
      <c r="S113" s="2"/>
      <c r="T113" s="2"/>
      <c r="U113" s="2"/>
      <c r="W113" s="2"/>
      <c r="X113" s="2"/>
      <c r="Y113" s="2"/>
      <c r="Z113" s="2"/>
      <c r="AA113" s="2"/>
      <c r="AB113">
        <v>0.46300000000000002</v>
      </c>
    </row>
    <row r="114" spans="1:28" hidden="1">
      <c r="A114" s="2" t="s">
        <v>240</v>
      </c>
      <c r="B114" t="s">
        <v>245</v>
      </c>
      <c r="C114" s="16" t="s">
        <v>61</v>
      </c>
      <c r="D114" s="2" t="s">
        <v>62</v>
      </c>
      <c r="E114" s="2" t="s">
        <v>247</v>
      </c>
      <c r="F114">
        <v>212</v>
      </c>
      <c r="G114">
        <v>3880073</v>
      </c>
      <c r="H114">
        <v>1865496</v>
      </c>
      <c r="I114">
        <v>2.5000000000000001E-2</v>
      </c>
      <c r="J114">
        <v>7.0000000000000007E-2</v>
      </c>
      <c r="K114" s="11">
        <v>0.03</v>
      </c>
      <c r="L114">
        <v>162004</v>
      </c>
      <c r="M114">
        <v>2384</v>
      </c>
      <c r="N114" s="2">
        <v>82</v>
      </c>
      <c r="O114">
        <v>3010</v>
      </c>
      <c r="P114">
        <v>68.212000000000003</v>
      </c>
      <c r="Q114">
        <v>56.003</v>
      </c>
      <c r="R114">
        <v>0.84570000000000001</v>
      </c>
      <c r="AB114">
        <v>0.4642</v>
      </c>
    </row>
    <row r="115" spans="1:28" hidden="1">
      <c r="A115" s="2" t="s">
        <v>240</v>
      </c>
      <c r="B115" s="2" t="s">
        <v>245</v>
      </c>
      <c r="C115" s="16" t="s">
        <v>64</v>
      </c>
      <c r="D115" s="2" t="s">
        <v>62</v>
      </c>
      <c r="E115" s="2" t="s">
        <v>248</v>
      </c>
      <c r="F115" s="2">
        <v>212</v>
      </c>
      <c r="G115" s="2">
        <v>4253525</v>
      </c>
      <c r="H115" s="2">
        <v>2041049</v>
      </c>
      <c r="I115" s="2">
        <v>2.2499999999999999E-2</v>
      </c>
      <c r="J115" s="2">
        <v>6.9000000000000006E-2</v>
      </c>
      <c r="K115" s="11">
        <v>0.03</v>
      </c>
      <c r="L115" s="2">
        <v>174186</v>
      </c>
      <c r="M115" s="2">
        <v>2236</v>
      </c>
      <c r="N115" s="2">
        <v>668</v>
      </c>
      <c r="O115" s="2">
        <v>3067</v>
      </c>
      <c r="P115" s="2">
        <v>78.093000000000004</v>
      </c>
      <c r="Q115" s="2">
        <v>59.256999999999998</v>
      </c>
      <c r="R115" s="2">
        <v>0.88229999999999997</v>
      </c>
      <c r="AB115">
        <v>0.4632</v>
      </c>
    </row>
    <row r="116" spans="1:28" hidden="1">
      <c r="A116" s="2" t="s">
        <v>249</v>
      </c>
      <c r="B116" t="s">
        <v>250</v>
      </c>
      <c r="C116" s="16" t="s">
        <v>61</v>
      </c>
      <c r="D116" t="s">
        <v>70</v>
      </c>
      <c r="E116" s="2" t="s">
        <v>251</v>
      </c>
      <c r="F116">
        <v>202</v>
      </c>
      <c r="G116">
        <v>211217.69</v>
      </c>
      <c r="H116">
        <v>118867.74800000001</v>
      </c>
      <c r="I116">
        <v>0.03</v>
      </c>
      <c r="J116">
        <v>8.1000000000000003E-2</v>
      </c>
      <c r="K116" s="11">
        <v>0.03</v>
      </c>
      <c r="L116">
        <v>37488.883000000002</v>
      </c>
      <c r="M116">
        <v>780</v>
      </c>
      <c r="O116">
        <v>362</v>
      </c>
      <c r="P116">
        <v>48.063000000000002</v>
      </c>
      <c r="Q116">
        <v>33.146000000000001</v>
      </c>
      <c r="R116">
        <v>0.24329999999999999</v>
      </c>
      <c r="AB116">
        <v>0.12554000000000001</v>
      </c>
    </row>
    <row r="117" spans="1:28" hidden="1">
      <c r="A117" s="2" t="s">
        <v>249</v>
      </c>
      <c r="B117" s="2" t="s">
        <v>250</v>
      </c>
      <c r="C117" s="16" t="s">
        <v>64</v>
      </c>
      <c r="D117" s="2" t="s">
        <v>70</v>
      </c>
      <c r="E117" s="2" t="s">
        <v>252</v>
      </c>
      <c r="F117" s="2">
        <v>202</v>
      </c>
      <c r="G117" s="2">
        <v>253396.8</v>
      </c>
      <c r="H117" s="2">
        <v>129802.4</v>
      </c>
      <c r="I117" s="2">
        <v>0.03</v>
      </c>
      <c r="J117" s="11">
        <v>7.0000000000000007E-2</v>
      </c>
      <c r="K117" s="11">
        <v>0.03</v>
      </c>
      <c r="L117" s="2">
        <v>36917.72</v>
      </c>
      <c r="M117" s="2">
        <v>758</v>
      </c>
      <c r="N117" s="2">
        <v>3111</v>
      </c>
      <c r="O117" s="2">
        <v>416</v>
      </c>
      <c r="P117" s="2">
        <v>48.704000000000001</v>
      </c>
      <c r="Q117" s="2">
        <v>34.886000000000003</v>
      </c>
      <c r="R117" s="2">
        <v>0.32850000000000001</v>
      </c>
    </row>
    <row r="118" spans="1:28">
      <c r="A118" s="2" t="s">
        <v>249</v>
      </c>
      <c r="B118" s="2" t="s">
        <v>250</v>
      </c>
      <c r="C118" s="15" t="s">
        <v>66</v>
      </c>
      <c r="D118" s="2" t="s">
        <v>70</v>
      </c>
      <c r="E118" s="2" t="s">
        <v>253</v>
      </c>
      <c r="F118" s="2">
        <v>202</v>
      </c>
      <c r="G118" s="2">
        <v>232307.3</v>
      </c>
      <c r="H118" s="2">
        <v>124335.1</v>
      </c>
      <c r="I118" s="11">
        <v>2.5000000000000001E-2</v>
      </c>
      <c r="J118" s="2">
        <v>7.3999999999999996E-2</v>
      </c>
      <c r="K118" s="11">
        <v>0.03</v>
      </c>
      <c r="L118" s="2">
        <v>37203.300000000003</v>
      </c>
      <c r="M118" s="2">
        <v>769</v>
      </c>
      <c r="N118" s="3">
        <v>3160</v>
      </c>
      <c r="O118" s="2"/>
      <c r="P118" s="2">
        <v>48.378999999999998</v>
      </c>
      <c r="Q118" s="2">
        <v>34.076000000000001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8" hidden="1">
      <c r="A119" t="s">
        <v>254</v>
      </c>
      <c r="B119" s="2" t="s">
        <v>255</v>
      </c>
      <c r="C119" s="16" t="s">
        <v>61</v>
      </c>
      <c r="D119" t="s">
        <v>75</v>
      </c>
      <c r="E119" t="s">
        <v>256</v>
      </c>
      <c r="F119" s="2">
        <v>74</v>
      </c>
      <c r="G119" s="2">
        <v>756950.8</v>
      </c>
      <c r="H119" s="2">
        <v>535935.19999999995</v>
      </c>
      <c r="I119" s="2">
        <v>2.5000000000000001E-2</v>
      </c>
      <c r="K119" s="11">
        <v>0.03</v>
      </c>
      <c r="L119" s="2">
        <v>66264.509999999995</v>
      </c>
      <c r="M119" s="2">
        <v>981</v>
      </c>
      <c r="N119" s="2">
        <v>7</v>
      </c>
      <c r="O119" s="2">
        <v>924</v>
      </c>
      <c r="P119" s="2">
        <v>40.090000000000003</v>
      </c>
      <c r="Q119" s="2"/>
      <c r="R119" s="2">
        <v>0.32540000000000002</v>
      </c>
      <c r="AB119" s="2">
        <v>0.253</v>
      </c>
    </row>
    <row r="120" spans="1:28" hidden="1">
      <c r="A120" t="s">
        <v>254</v>
      </c>
      <c r="B120" t="s">
        <v>257</v>
      </c>
      <c r="C120" s="16" t="s">
        <v>61</v>
      </c>
      <c r="D120" t="s">
        <v>70</v>
      </c>
      <c r="E120" s="2" t="s">
        <v>258</v>
      </c>
      <c r="F120">
        <v>175</v>
      </c>
      <c r="G120">
        <v>1351562.621</v>
      </c>
      <c r="H120">
        <v>1140815.7709999999</v>
      </c>
      <c r="I120">
        <v>0.03</v>
      </c>
      <c r="J120">
        <v>7.4999999999999997E-2</v>
      </c>
      <c r="K120" s="11">
        <v>0.03</v>
      </c>
      <c r="L120">
        <v>171688.30100000001</v>
      </c>
      <c r="M120">
        <v>3218</v>
      </c>
      <c r="O120">
        <v>2448</v>
      </c>
      <c r="P120">
        <v>53.351999999999997</v>
      </c>
      <c r="Q120">
        <v>26.652000000000001</v>
      </c>
      <c r="R120">
        <v>0.15679999999999999</v>
      </c>
      <c r="S120" s="2">
        <v>0.71138882339070975</v>
      </c>
      <c r="AB120">
        <v>0.13109999999999999</v>
      </c>
    </row>
    <row r="121" spans="1:28" hidden="1">
      <c r="A121" s="2" t="s">
        <v>254</v>
      </c>
      <c r="B121" s="2" t="s">
        <v>257</v>
      </c>
      <c r="C121" s="16" t="s">
        <v>64</v>
      </c>
      <c r="D121" s="2" t="s">
        <v>70</v>
      </c>
      <c r="E121" s="2" t="s">
        <v>259</v>
      </c>
      <c r="F121" s="2">
        <v>175</v>
      </c>
      <c r="G121" s="2">
        <v>1420249</v>
      </c>
      <c r="H121" s="2">
        <v>1189659</v>
      </c>
      <c r="I121" s="2">
        <v>0.03</v>
      </c>
      <c r="J121" s="2">
        <v>7.4999999999999997E-2</v>
      </c>
      <c r="K121" s="11">
        <v>0.03</v>
      </c>
      <c r="L121" s="2">
        <v>170834.6</v>
      </c>
      <c r="M121" s="2">
        <v>3146</v>
      </c>
      <c r="N121" s="2">
        <v>0</v>
      </c>
      <c r="O121" s="2">
        <v>2591</v>
      </c>
      <c r="P121" s="2">
        <v>54.302</v>
      </c>
      <c r="Q121" s="2">
        <v>28.047000000000001</v>
      </c>
      <c r="R121" s="2">
        <v>0.17949999999999999</v>
      </c>
      <c r="S121" s="2">
        <v>0.71138882339070975</v>
      </c>
      <c r="AB121">
        <v>0.12790000000000001</v>
      </c>
    </row>
    <row r="122" spans="1:28">
      <c r="A122" s="2" t="s">
        <v>254</v>
      </c>
      <c r="B122" s="2" t="s">
        <v>257</v>
      </c>
      <c r="C122" s="15" t="s">
        <v>66</v>
      </c>
      <c r="D122" s="2" t="s">
        <v>70</v>
      </c>
      <c r="E122" s="2" t="s">
        <v>260</v>
      </c>
      <c r="F122" s="2">
        <v>175</v>
      </c>
      <c r="G122" s="2">
        <v>1380803</v>
      </c>
      <c r="H122" s="2">
        <v>1179563</v>
      </c>
      <c r="I122" s="2">
        <v>0.03</v>
      </c>
      <c r="J122" s="2">
        <v>7.4999999999999997E-2</v>
      </c>
      <c r="K122" s="11">
        <v>0.03</v>
      </c>
      <c r="L122" s="2">
        <v>171476.1</v>
      </c>
      <c r="M122" s="2">
        <v>3163</v>
      </c>
      <c r="N122" s="3">
        <v>0</v>
      </c>
      <c r="O122" s="2">
        <v>2526</v>
      </c>
      <c r="P122" s="2">
        <v>54.213000000000001</v>
      </c>
      <c r="Q122" s="2">
        <v>27.169</v>
      </c>
      <c r="R122" s="2">
        <v>0.15939999999999999</v>
      </c>
      <c r="S122" s="2">
        <v>0.71138882339070975</v>
      </c>
      <c r="T122" s="2"/>
      <c r="U122" s="2"/>
      <c r="V122" s="2"/>
      <c r="W122" s="2"/>
      <c r="X122" s="2"/>
      <c r="Y122" s="2"/>
      <c r="Z122" s="2"/>
      <c r="AA122" s="2"/>
      <c r="AB122">
        <v>0.129</v>
      </c>
    </row>
    <row r="123" spans="1:28">
      <c r="A123" s="2" t="s">
        <v>254</v>
      </c>
      <c r="B123" s="2" t="s">
        <v>261</v>
      </c>
      <c r="C123" s="15" t="s">
        <v>66</v>
      </c>
      <c r="D123" s="2" t="s">
        <v>154</v>
      </c>
      <c r="E123" s="2" t="s">
        <v>262</v>
      </c>
      <c r="F123" s="2">
        <v>207</v>
      </c>
      <c r="G123" s="2">
        <v>1020122</v>
      </c>
      <c r="H123" s="2">
        <v>645373.19999999995</v>
      </c>
      <c r="I123" s="2">
        <v>2.75E-2</v>
      </c>
      <c r="J123" s="2">
        <v>7.7499999999999999E-2</v>
      </c>
      <c r="K123" s="11">
        <v>0.03</v>
      </c>
      <c r="L123" s="2">
        <v>217255.3</v>
      </c>
      <c r="M123" s="2">
        <v>4074</v>
      </c>
      <c r="N123" s="3">
        <v>0</v>
      </c>
      <c r="O123" s="2">
        <v>4145</v>
      </c>
      <c r="P123" s="2">
        <v>53.326999999999998</v>
      </c>
      <c r="Q123" s="2">
        <v>19.565000000000001</v>
      </c>
      <c r="R123" s="2">
        <v>0.12</v>
      </c>
      <c r="S123" s="2"/>
      <c r="T123" s="2"/>
      <c r="U123" s="2"/>
      <c r="V123" s="2"/>
      <c r="W123" s="2"/>
      <c r="X123" s="2"/>
      <c r="Y123" s="2"/>
      <c r="Z123" s="2"/>
      <c r="AA123" s="2"/>
      <c r="AB123">
        <v>9.4600000000000004E-2</v>
      </c>
    </row>
    <row r="124" spans="1:28" hidden="1">
      <c r="A124" s="2" t="s">
        <v>254</v>
      </c>
      <c r="B124" s="2" t="s">
        <v>261</v>
      </c>
      <c r="C124" s="16" t="s">
        <v>64</v>
      </c>
      <c r="D124" s="2" t="s">
        <v>154</v>
      </c>
      <c r="E124" s="2" t="s">
        <v>263</v>
      </c>
      <c r="F124" s="2">
        <v>207</v>
      </c>
      <c r="G124" s="2">
        <v>997587.4</v>
      </c>
      <c r="H124" s="2">
        <v>663210.6</v>
      </c>
      <c r="I124" s="2">
        <v>2.2499999999999999E-2</v>
      </c>
      <c r="J124" s="2">
        <v>7.2499999999999995E-2</v>
      </c>
      <c r="K124" s="11">
        <v>0.03</v>
      </c>
      <c r="L124" s="2">
        <v>228084.6</v>
      </c>
      <c r="M124" s="2">
        <v>4108</v>
      </c>
      <c r="N124" s="2">
        <v>0</v>
      </c>
      <c r="O124" s="2">
        <v>4099</v>
      </c>
      <c r="P124" s="2">
        <v>55.521999999999998</v>
      </c>
      <c r="Q124" s="2">
        <v>19.574999999999999</v>
      </c>
      <c r="R124" s="2">
        <v>0.12</v>
      </c>
      <c r="AB124">
        <v>9.6299999999999997E-2</v>
      </c>
    </row>
    <row r="125" spans="1:28" hidden="1">
      <c r="A125" t="s">
        <v>254</v>
      </c>
      <c r="B125" s="2" t="s">
        <v>264</v>
      </c>
      <c r="C125" s="16" t="s">
        <v>61</v>
      </c>
      <c r="D125" t="s">
        <v>80</v>
      </c>
      <c r="E125" t="s">
        <v>265</v>
      </c>
      <c r="F125" s="2" t="s">
        <v>266</v>
      </c>
      <c r="G125" s="2">
        <v>1161789</v>
      </c>
      <c r="H125" s="2">
        <v>886676.4</v>
      </c>
      <c r="I125" s="2">
        <v>0.03</v>
      </c>
      <c r="J125" s="4"/>
      <c r="K125" s="11">
        <v>0.03</v>
      </c>
      <c r="L125" s="2">
        <v>91598</v>
      </c>
      <c r="M125" s="2">
        <v>1284</v>
      </c>
      <c r="N125" s="2">
        <v>33</v>
      </c>
      <c r="O125" s="2">
        <v>1332</v>
      </c>
      <c r="P125" s="2">
        <v>41.6</v>
      </c>
      <c r="Q125" s="2"/>
      <c r="R125" s="2">
        <v>0.30359999999999998</v>
      </c>
      <c r="AB125" s="2">
        <v>0.25979999999999998</v>
      </c>
    </row>
    <row r="126" spans="1:28" hidden="1">
      <c r="A126" t="s">
        <v>267</v>
      </c>
      <c r="B126" t="s">
        <v>261</v>
      </c>
      <c r="C126" s="16" t="s">
        <v>61</v>
      </c>
      <c r="D126" t="s">
        <v>154</v>
      </c>
      <c r="E126" s="2" t="s">
        <v>268</v>
      </c>
      <c r="F126">
        <v>207</v>
      </c>
      <c r="G126">
        <v>988234.76300000004</v>
      </c>
      <c r="H126">
        <v>654259.32400000002</v>
      </c>
      <c r="I126">
        <v>2.75E-2</v>
      </c>
      <c r="J126">
        <v>7.5700000000000003E-2</v>
      </c>
      <c r="K126" s="11">
        <v>0.03</v>
      </c>
      <c r="L126">
        <v>196277.97099999999</v>
      </c>
      <c r="M126">
        <v>3898</v>
      </c>
      <c r="O126">
        <v>4113</v>
      </c>
      <c r="P126">
        <v>52.158000000000001</v>
      </c>
      <c r="Q126">
        <v>19.481999999999999</v>
      </c>
      <c r="R126">
        <v>0.105</v>
      </c>
      <c r="AB126">
        <v>9.1499999999999998E-2</v>
      </c>
    </row>
    <row r="127" spans="1:28" hidden="1">
      <c r="A127" s="2" t="s">
        <v>269</v>
      </c>
      <c r="B127" t="s">
        <v>270</v>
      </c>
      <c r="C127" s="16" t="s">
        <v>61</v>
      </c>
      <c r="D127" s="2" t="s">
        <v>75</v>
      </c>
      <c r="E127" s="2" t="s">
        <v>271</v>
      </c>
      <c r="F127">
        <v>188</v>
      </c>
      <c r="G127">
        <v>97033.040999999997</v>
      </c>
      <c r="H127">
        <v>47611.589</v>
      </c>
      <c r="I127">
        <v>2.75E-2</v>
      </c>
      <c r="J127">
        <v>7.0000000000000007E-2</v>
      </c>
      <c r="K127" s="11">
        <v>0.03</v>
      </c>
      <c r="L127">
        <v>0</v>
      </c>
      <c r="M127">
        <v>0</v>
      </c>
      <c r="O127">
        <v>287</v>
      </c>
      <c r="Q127">
        <v>46.567999999999998</v>
      </c>
    </row>
    <row r="128" spans="1:28" hidden="1">
      <c r="A128" s="2" t="s">
        <v>269</v>
      </c>
      <c r="B128" s="2" t="s">
        <v>270</v>
      </c>
      <c r="C128" s="16" t="s">
        <v>64</v>
      </c>
      <c r="D128" s="2" t="s">
        <v>75</v>
      </c>
      <c r="E128" s="2" t="s">
        <v>272</v>
      </c>
      <c r="F128" s="2">
        <v>188</v>
      </c>
      <c r="G128" s="11"/>
      <c r="H128" s="11"/>
      <c r="I128" s="11">
        <v>2.5000000000000001E-2</v>
      </c>
      <c r="J128" s="11">
        <v>7.0000000000000007E-2</v>
      </c>
      <c r="K128" s="11">
        <v>0.03</v>
      </c>
      <c r="L128" s="2"/>
      <c r="M128" s="2"/>
      <c r="N128" s="2">
        <v>9207</v>
      </c>
      <c r="O128" s="2"/>
      <c r="P128" s="2"/>
      <c r="Q128" s="2"/>
      <c r="R128" s="2"/>
    </row>
    <row r="129" spans="1:28">
      <c r="A129" s="2" t="s">
        <v>269</v>
      </c>
      <c r="B129" s="2" t="s">
        <v>270</v>
      </c>
      <c r="C129" s="15" t="s">
        <v>66</v>
      </c>
      <c r="D129" s="2" t="s">
        <v>75</v>
      </c>
      <c r="E129" s="2" t="s">
        <v>273</v>
      </c>
      <c r="F129" s="2">
        <v>188</v>
      </c>
      <c r="G129" s="2">
        <v>92710.23</v>
      </c>
      <c r="H129" s="2">
        <v>44878.28</v>
      </c>
      <c r="I129" s="2">
        <v>2.75E-2</v>
      </c>
      <c r="J129" s="2">
        <v>7.0000000000000007E-2</v>
      </c>
      <c r="K129" s="11">
        <v>0.03</v>
      </c>
      <c r="L129" s="2">
        <v>0</v>
      </c>
      <c r="M129" s="2">
        <v>0</v>
      </c>
      <c r="N129" s="3">
        <v>8588</v>
      </c>
      <c r="O129" s="2">
        <v>276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8">
      <c r="A130" s="2" t="s">
        <v>274</v>
      </c>
      <c r="B130" s="2" t="s">
        <v>275</v>
      </c>
      <c r="C130" s="15" t="s">
        <v>66</v>
      </c>
      <c r="D130" s="2" t="s">
        <v>70</v>
      </c>
      <c r="E130" s="2" t="s">
        <v>276</v>
      </c>
      <c r="F130" s="2">
        <v>139</v>
      </c>
      <c r="G130" s="2">
        <v>20793421</v>
      </c>
      <c r="H130" s="2">
        <v>14818564</v>
      </c>
      <c r="I130" s="2">
        <v>0.03</v>
      </c>
      <c r="J130" s="2">
        <v>7.2499999999999995E-2</v>
      </c>
      <c r="K130" s="11">
        <v>0.03</v>
      </c>
      <c r="L130" s="2">
        <v>2225413</v>
      </c>
      <c r="M130" s="2">
        <v>26632</v>
      </c>
      <c r="N130" s="3">
        <v>523</v>
      </c>
      <c r="O130" s="2">
        <v>20034</v>
      </c>
      <c r="P130" s="2">
        <v>83.561999999999998</v>
      </c>
      <c r="Q130" s="2">
        <v>47.298999999999999</v>
      </c>
      <c r="R130" s="2">
        <v>0.15090000000000001</v>
      </c>
      <c r="S130" s="2">
        <v>0.72</v>
      </c>
      <c r="T130" s="2"/>
      <c r="U130" s="2"/>
      <c r="V130" s="2"/>
      <c r="W130" s="2"/>
      <c r="X130" s="2"/>
      <c r="Y130" s="2"/>
      <c r="Z130" s="2"/>
      <c r="AA130" s="2"/>
      <c r="AB130">
        <v>0.17230000000000001</v>
      </c>
    </row>
    <row r="131" spans="1:28" hidden="1">
      <c r="A131" s="2" t="s">
        <v>274</v>
      </c>
      <c r="B131" t="s">
        <v>275</v>
      </c>
      <c r="C131" s="16" t="s">
        <v>61</v>
      </c>
      <c r="D131" t="s">
        <v>70</v>
      </c>
      <c r="E131" s="2" t="s">
        <v>277</v>
      </c>
      <c r="F131">
        <v>139</v>
      </c>
      <c r="G131">
        <v>19944579.057999998</v>
      </c>
      <c r="H131">
        <v>13982435.465</v>
      </c>
      <c r="I131">
        <v>0.03</v>
      </c>
      <c r="J131">
        <v>7.2499999999999995E-2</v>
      </c>
      <c r="K131" s="11">
        <v>0.03</v>
      </c>
      <c r="L131">
        <v>2171687.102</v>
      </c>
      <c r="M131">
        <v>26042</v>
      </c>
      <c r="O131">
        <v>19379</v>
      </c>
      <c r="P131">
        <v>83.622</v>
      </c>
      <c r="Q131">
        <v>45.414000000000001</v>
      </c>
      <c r="R131">
        <v>0.15079999999999999</v>
      </c>
      <c r="S131" s="2">
        <v>0.72</v>
      </c>
      <c r="AB131">
        <v>0.1726</v>
      </c>
    </row>
    <row r="132" spans="1:28" hidden="1">
      <c r="A132" s="2" t="s">
        <v>274</v>
      </c>
      <c r="B132" s="2" t="s">
        <v>275</v>
      </c>
      <c r="C132" s="16" t="s">
        <v>64</v>
      </c>
      <c r="D132" s="2" t="s">
        <v>70</v>
      </c>
      <c r="E132" s="2" t="s">
        <v>278</v>
      </c>
      <c r="F132" s="2">
        <v>139</v>
      </c>
      <c r="G132" s="2">
        <v>22527195</v>
      </c>
      <c r="H132" s="2">
        <v>15630103</v>
      </c>
      <c r="I132" s="2">
        <v>2.75E-2</v>
      </c>
      <c r="J132" s="2">
        <v>7.0000000000000007E-2</v>
      </c>
      <c r="K132" s="11">
        <v>0.03</v>
      </c>
      <c r="L132" s="2">
        <v>2445017</v>
      </c>
      <c r="M132" s="2">
        <v>27490</v>
      </c>
      <c r="N132" s="2">
        <v>575</v>
      </c>
      <c r="O132" s="2">
        <v>20423</v>
      </c>
      <c r="P132" s="2">
        <v>88.941999999999993</v>
      </c>
      <c r="Q132" s="2">
        <v>49.195999999999998</v>
      </c>
      <c r="R132" s="2">
        <v>0.18740000000000001</v>
      </c>
      <c r="S132" s="2">
        <v>0.72</v>
      </c>
      <c r="AB132">
        <v>0.1908</v>
      </c>
    </row>
    <row r="133" spans="1:28">
      <c r="A133" s="2" t="s">
        <v>274</v>
      </c>
      <c r="B133" s="2" t="s">
        <v>279</v>
      </c>
      <c r="C133" s="15" t="s">
        <v>66</v>
      </c>
      <c r="D133" s="2" t="s">
        <v>62</v>
      </c>
      <c r="E133" s="2" t="s">
        <v>280</v>
      </c>
      <c r="F133" s="2">
        <v>140</v>
      </c>
      <c r="G133" s="2">
        <v>22474125</v>
      </c>
      <c r="H133" s="2">
        <v>21037711</v>
      </c>
      <c r="I133" s="2">
        <v>0.03</v>
      </c>
      <c r="J133" s="2">
        <v>7.2499999999999995E-2</v>
      </c>
      <c r="K133" s="11">
        <v>0.03</v>
      </c>
      <c r="L133" s="2">
        <v>1583808</v>
      </c>
      <c r="M133" s="2">
        <v>13535</v>
      </c>
      <c r="N133" s="3">
        <v>1663</v>
      </c>
      <c r="O133" s="2">
        <v>13097</v>
      </c>
      <c r="P133" s="2">
        <v>117.01600000000001</v>
      </c>
      <c r="Q133" s="2">
        <v>73.62</v>
      </c>
      <c r="R133" s="2">
        <v>0.25459999999999999</v>
      </c>
      <c r="S133" s="2">
        <v>0.72</v>
      </c>
      <c r="T133" s="2"/>
      <c r="U133" s="2"/>
      <c r="V133" s="2"/>
      <c r="W133" s="2"/>
      <c r="X133" s="2"/>
      <c r="Y133" s="2"/>
      <c r="Z133" s="2"/>
      <c r="AA133" s="2"/>
      <c r="AB133">
        <v>0.29049999999999998</v>
      </c>
    </row>
    <row r="134" spans="1:28" hidden="1">
      <c r="A134" s="2" t="s">
        <v>274</v>
      </c>
      <c r="B134" t="s">
        <v>279</v>
      </c>
      <c r="C134" s="16" t="s">
        <v>61</v>
      </c>
      <c r="D134" s="2" t="s">
        <v>62</v>
      </c>
      <c r="E134" s="2" t="s">
        <v>281</v>
      </c>
      <c r="F134">
        <v>140</v>
      </c>
      <c r="G134">
        <v>21364804</v>
      </c>
      <c r="H134">
        <v>19840070</v>
      </c>
      <c r="I134">
        <v>3.2500000000000001E-2</v>
      </c>
      <c r="J134">
        <v>7.4999999999999997E-2</v>
      </c>
      <c r="K134" s="11">
        <v>0.03</v>
      </c>
      <c r="L134">
        <v>1546043</v>
      </c>
      <c r="M134">
        <v>13442</v>
      </c>
      <c r="O134">
        <v>12890</v>
      </c>
      <c r="P134">
        <v>115.01600000000001</v>
      </c>
      <c r="Q134">
        <v>71.099999999999994</v>
      </c>
      <c r="R134">
        <v>0.25719999999999998</v>
      </c>
      <c r="S134" s="2">
        <v>0.72</v>
      </c>
      <c r="AB134">
        <v>0.28560000000000002</v>
      </c>
    </row>
    <row r="135" spans="1:28" hidden="1">
      <c r="A135" s="2" t="s">
        <v>274</v>
      </c>
      <c r="B135" s="2" t="s">
        <v>279</v>
      </c>
      <c r="C135" s="16" t="s">
        <v>64</v>
      </c>
      <c r="D135" s="2" t="s">
        <v>62</v>
      </c>
      <c r="E135" s="2" t="s">
        <v>282</v>
      </c>
      <c r="F135" s="2">
        <v>140</v>
      </c>
      <c r="G135" s="2">
        <v>23727315</v>
      </c>
      <c r="H135" s="2">
        <v>22106722</v>
      </c>
      <c r="I135" s="2">
        <v>2.75E-2</v>
      </c>
      <c r="J135" s="2">
        <v>7.0000000000000007E-2</v>
      </c>
      <c r="K135" s="11">
        <v>0.03</v>
      </c>
      <c r="L135" s="2">
        <v>1670245</v>
      </c>
      <c r="M135" s="2">
        <v>13486</v>
      </c>
      <c r="N135" s="2">
        <v>1690</v>
      </c>
      <c r="O135" s="2">
        <v>13291</v>
      </c>
      <c r="P135" s="2">
        <v>123.85</v>
      </c>
      <c r="Q135" s="2">
        <v>76.632000000000005</v>
      </c>
      <c r="R135" s="2">
        <v>0.24959999999999999</v>
      </c>
      <c r="S135" s="2">
        <v>0.72</v>
      </c>
      <c r="AB135">
        <v>0.2989</v>
      </c>
    </row>
    <row r="136" spans="1:28">
      <c r="A136" s="2" t="s">
        <v>274</v>
      </c>
      <c r="B136" s="2" t="s">
        <v>283</v>
      </c>
      <c r="C136" s="15" t="s">
        <v>66</v>
      </c>
      <c r="D136" s="2" t="s">
        <v>284</v>
      </c>
      <c r="E136" s="2" t="s">
        <v>285</v>
      </c>
      <c r="F136" s="2">
        <v>141</v>
      </c>
      <c r="G136" s="2">
        <v>13811956</v>
      </c>
      <c r="H136" s="2">
        <v>12739145</v>
      </c>
      <c r="I136" s="2">
        <v>2.75E-2</v>
      </c>
      <c r="J136" s="2">
        <v>7.0000000000000007E-2</v>
      </c>
      <c r="K136" s="11">
        <v>0.03</v>
      </c>
      <c r="L136" s="2">
        <v>1141876</v>
      </c>
      <c r="M136" s="2">
        <v>10362</v>
      </c>
      <c r="N136" s="3">
        <v>0</v>
      </c>
      <c r="O136" s="2">
        <v>9315</v>
      </c>
      <c r="P136" s="2">
        <v>110.19799999999999</v>
      </c>
      <c r="Q136" s="2">
        <v>63.496000000000002</v>
      </c>
      <c r="R136" s="2">
        <v>0.37969999999999998</v>
      </c>
      <c r="S136" s="2">
        <v>0.72</v>
      </c>
      <c r="T136" s="2"/>
      <c r="U136" s="2"/>
      <c r="V136" s="2"/>
      <c r="W136" s="2"/>
      <c r="X136" s="2"/>
      <c r="Y136" s="2"/>
      <c r="Z136" s="2"/>
      <c r="AA136" s="2"/>
      <c r="AB136">
        <v>0.23069999999999999</v>
      </c>
    </row>
    <row r="137" spans="1:28" hidden="1">
      <c r="A137" t="s">
        <v>274</v>
      </c>
      <c r="B137" t="s">
        <v>283</v>
      </c>
      <c r="C137" s="16" t="s">
        <v>61</v>
      </c>
      <c r="D137" t="s">
        <v>284</v>
      </c>
      <c r="E137" s="2" t="s">
        <v>286</v>
      </c>
      <c r="F137">
        <v>141</v>
      </c>
      <c r="G137">
        <v>13187542.73</v>
      </c>
      <c r="H137">
        <v>12009999.029999999</v>
      </c>
      <c r="I137">
        <v>0.03</v>
      </c>
      <c r="J137">
        <v>7.2499999999999995E-2</v>
      </c>
      <c r="K137" s="11">
        <v>0.03</v>
      </c>
      <c r="L137">
        <v>1073554.6070000001</v>
      </c>
      <c r="M137">
        <v>10114</v>
      </c>
      <c r="O137">
        <v>9165</v>
      </c>
      <c r="P137">
        <v>106.145</v>
      </c>
      <c r="Q137">
        <v>60.981999999999999</v>
      </c>
      <c r="R137">
        <v>0.40150000000000002</v>
      </c>
      <c r="S137" s="2">
        <v>0.72</v>
      </c>
      <c r="AB137">
        <v>0.2266</v>
      </c>
    </row>
    <row r="138" spans="1:28" hidden="1">
      <c r="A138" s="2" t="s">
        <v>274</v>
      </c>
      <c r="B138" s="2" t="s">
        <v>283</v>
      </c>
      <c r="C138" s="16" t="s">
        <v>64</v>
      </c>
      <c r="D138" s="2" t="s">
        <v>284</v>
      </c>
      <c r="E138" s="2" t="s">
        <v>287</v>
      </c>
      <c r="F138" s="2">
        <v>141</v>
      </c>
      <c r="G138" s="2">
        <v>14465350</v>
      </c>
      <c r="H138" s="2">
        <v>13586121</v>
      </c>
      <c r="I138" s="2">
        <v>2.75E-2</v>
      </c>
      <c r="J138" s="2">
        <v>7.0000000000000007E-2</v>
      </c>
      <c r="K138" s="11">
        <v>0.03</v>
      </c>
      <c r="L138" s="2">
        <v>1211798</v>
      </c>
      <c r="M138" s="2">
        <v>10778</v>
      </c>
      <c r="N138" s="2">
        <v>0</v>
      </c>
      <c r="O138" s="2">
        <v>9443</v>
      </c>
      <c r="P138" s="2">
        <v>112.43300000000001</v>
      </c>
      <c r="Q138" s="2">
        <v>66.594999999999999</v>
      </c>
      <c r="R138" s="2">
        <v>0.33550000000000002</v>
      </c>
      <c r="S138" s="2">
        <v>0.72</v>
      </c>
      <c r="AB138">
        <v>0.22720000000000001</v>
      </c>
    </row>
    <row r="139" spans="1:28" hidden="1">
      <c r="A139" s="2" t="s">
        <v>288</v>
      </c>
      <c r="B139" t="s">
        <v>289</v>
      </c>
      <c r="C139" s="16" t="s">
        <v>61</v>
      </c>
      <c r="D139" t="s">
        <v>70</v>
      </c>
      <c r="E139" s="2" t="s">
        <v>290</v>
      </c>
      <c r="F139">
        <v>190</v>
      </c>
      <c r="G139">
        <v>355948.21600000001</v>
      </c>
      <c r="H139">
        <v>220842.31299999999</v>
      </c>
      <c r="I139">
        <v>2.5000000000000001E-2</v>
      </c>
      <c r="J139">
        <v>7.0000000000000007E-2</v>
      </c>
      <c r="K139" s="11">
        <v>0.03</v>
      </c>
      <c r="L139">
        <v>51787</v>
      </c>
      <c r="M139">
        <v>1142</v>
      </c>
      <c r="O139">
        <v>914</v>
      </c>
      <c r="P139">
        <v>45.347999999999999</v>
      </c>
      <c r="Q139">
        <v>20.199000000000002</v>
      </c>
      <c r="R139">
        <v>0.27129999999999999</v>
      </c>
      <c r="AB139">
        <v>0.12920000000000001</v>
      </c>
    </row>
    <row r="140" spans="1:28" hidden="1">
      <c r="A140" s="2" t="s">
        <v>288</v>
      </c>
      <c r="B140" s="2" t="s">
        <v>289</v>
      </c>
      <c r="C140" s="16" t="s">
        <v>64</v>
      </c>
      <c r="D140" s="2" t="s">
        <v>70</v>
      </c>
      <c r="E140" s="2" t="s">
        <v>291</v>
      </c>
      <c r="F140" s="2">
        <v>190</v>
      </c>
      <c r="G140">
        <v>413910.761</v>
      </c>
      <c r="H140">
        <v>245208.01300000001</v>
      </c>
      <c r="I140">
        <v>0.02</v>
      </c>
      <c r="J140">
        <v>7.4999999999999997E-2</v>
      </c>
      <c r="K140" s="11">
        <v>0.03</v>
      </c>
      <c r="L140">
        <v>54254.463000000003</v>
      </c>
      <c r="M140">
        <v>1088</v>
      </c>
      <c r="O140">
        <v>988</v>
      </c>
      <c r="P140">
        <v>49.866</v>
      </c>
      <c r="Q140">
        <v>21.195</v>
      </c>
      <c r="R140">
        <v>0.32700000000000001</v>
      </c>
      <c r="AB140">
        <v>0.13539999999999999</v>
      </c>
    </row>
    <row r="141" spans="1:28">
      <c r="A141" s="2" t="s">
        <v>288</v>
      </c>
      <c r="B141" s="2" t="s">
        <v>289</v>
      </c>
      <c r="C141" s="16" t="s">
        <v>66</v>
      </c>
      <c r="D141" s="2" t="s">
        <v>70</v>
      </c>
      <c r="E141" s="2" t="s">
        <v>292</v>
      </c>
      <c r="F141" s="2">
        <v>190</v>
      </c>
      <c r="G141">
        <v>370984.435</v>
      </c>
      <c r="H141">
        <v>229353.61</v>
      </c>
      <c r="I141">
        <v>2.2499999999999999E-2</v>
      </c>
      <c r="J141">
        <v>6.7500000000000004E-2</v>
      </c>
      <c r="K141" s="11">
        <v>0.03</v>
      </c>
      <c r="L141">
        <v>52895.991999999998</v>
      </c>
      <c r="M141">
        <v>1119</v>
      </c>
      <c r="O141">
        <v>955</v>
      </c>
      <c r="P141">
        <v>47.271000000000001</v>
      </c>
      <c r="Q141">
        <v>20.844000000000001</v>
      </c>
      <c r="R141">
        <v>0.28210000000000002</v>
      </c>
      <c r="AB141">
        <v>0.1295</v>
      </c>
    </row>
    <row r="142" spans="1:28">
      <c r="A142" s="2" t="s">
        <v>293</v>
      </c>
      <c r="B142" s="2" t="s">
        <v>294</v>
      </c>
      <c r="C142" s="15" t="s">
        <v>66</v>
      </c>
      <c r="D142" s="2" t="s">
        <v>70</v>
      </c>
      <c r="E142" s="2" t="s">
        <v>295</v>
      </c>
      <c r="F142" s="2">
        <v>151</v>
      </c>
      <c r="G142" s="2">
        <v>6597457</v>
      </c>
      <c r="H142" s="2">
        <v>5285205</v>
      </c>
      <c r="I142" s="2">
        <v>2.5000000000000001E-2</v>
      </c>
      <c r="J142" s="2">
        <v>7.4999999999999997E-2</v>
      </c>
      <c r="K142" s="11">
        <v>0.03</v>
      </c>
      <c r="L142" s="2">
        <v>596386</v>
      </c>
      <c r="M142" s="2">
        <v>10974</v>
      </c>
      <c r="N142" s="3">
        <v>4568</v>
      </c>
      <c r="O142" s="2">
        <v>13555</v>
      </c>
      <c r="P142" s="2">
        <v>54.345999999999997</v>
      </c>
      <c r="Q142" s="2">
        <v>29.48</v>
      </c>
      <c r="R142" s="2">
        <v>0.28210000000000002</v>
      </c>
      <c r="S142" s="2">
        <v>0.70959132610508757</v>
      </c>
      <c r="T142" s="2"/>
      <c r="U142" s="2"/>
      <c r="V142" s="2"/>
      <c r="W142" s="2"/>
      <c r="X142" s="2"/>
      <c r="Y142" s="2"/>
      <c r="Z142" s="2"/>
      <c r="AA142" s="2"/>
      <c r="AB142">
        <v>0.16089999999999999</v>
      </c>
    </row>
    <row r="143" spans="1:28" hidden="1">
      <c r="A143" t="s">
        <v>293</v>
      </c>
      <c r="B143" t="s">
        <v>294</v>
      </c>
      <c r="C143" s="16" t="s">
        <v>61</v>
      </c>
      <c r="D143" t="s">
        <v>70</v>
      </c>
      <c r="E143" s="2" t="s">
        <v>296</v>
      </c>
      <c r="F143">
        <v>151</v>
      </c>
      <c r="G143">
        <v>6400901</v>
      </c>
      <c r="H143">
        <v>5219184</v>
      </c>
      <c r="I143">
        <v>2.5000000000000001E-2</v>
      </c>
      <c r="J143">
        <v>7.4999999999999997E-2</v>
      </c>
      <c r="K143" s="11">
        <v>0.03</v>
      </c>
      <c r="L143">
        <v>581663</v>
      </c>
      <c r="M143">
        <v>10851</v>
      </c>
      <c r="O143">
        <v>13370</v>
      </c>
      <c r="P143">
        <v>53.604999999999997</v>
      </c>
      <c r="Q143">
        <v>28.649000000000001</v>
      </c>
      <c r="R143">
        <v>0.2616</v>
      </c>
      <c r="S143" s="2">
        <v>0.70959132610508757</v>
      </c>
      <c r="AB143">
        <v>0.16320000000000001</v>
      </c>
    </row>
    <row r="144" spans="1:28" hidden="1">
      <c r="A144" s="2" t="s">
        <v>293</v>
      </c>
      <c r="B144" s="2" t="s">
        <v>294</v>
      </c>
      <c r="C144" s="16" t="s">
        <v>64</v>
      </c>
      <c r="D144" s="2" t="s">
        <v>70</v>
      </c>
      <c r="E144" s="2" t="s">
        <v>297</v>
      </c>
      <c r="F144" s="2">
        <v>151</v>
      </c>
      <c r="G144" s="2">
        <v>6745299</v>
      </c>
      <c r="H144" s="2">
        <v>5440867</v>
      </c>
      <c r="I144" s="2">
        <v>2.5000000000000001E-2</v>
      </c>
      <c r="J144" s="2">
        <v>7.4999999999999997E-2</v>
      </c>
      <c r="K144" s="11">
        <v>0.03</v>
      </c>
      <c r="L144" s="2">
        <v>586369</v>
      </c>
      <c r="M144" s="2">
        <v>10567</v>
      </c>
      <c r="N144" s="2">
        <v>4984</v>
      </c>
      <c r="O144" s="2">
        <v>13647</v>
      </c>
      <c r="P144" s="2">
        <v>55.491</v>
      </c>
      <c r="Q144" s="2">
        <v>30.605</v>
      </c>
      <c r="R144" s="2">
        <v>0.2873</v>
      </c>
      <c r="S144" s="2">
        <v>0.70959132610508757</v>
      </c>
      <c r="AB144">
        <v>0.158</v>
      </c>
    </row>
    <row r="145" spans="1:28" hidden="1">
      <c r="A145" s="2" t="s">
        <v>298</v>
      </c>
      <c r="B145" t="s">
        <v>299</v>
      </c>
      <c r="C145" s="16" t="s">
        <v>61</v>
      </c>
      <c r="D145" t="s">
        <v>70</v>
      </c>
      <c r="E145" s="2" t="s">
        <v>300</v>
      </c>
      <c r="F145">
        <v>55</v>
      </c>
      <c r="K145" s="11">
        <v>0.03</v>
      </c>
      <c r="AB145" s="6"/>
    </row>
    <row r="146" spans="1:28" hidden="1">
      <c r="A146" s="2" t="s">
        <v>298</v>
      </c>
      <c r="B146" s="2" t="s">
        <v>299</v>
      </c>
      <c r="C146" s="16" t="s">
        <v>64</v>
      </c>
      <c r="D146" s="2" t="s">
        <v>70</v>
      </c>
      <c r="E146" s="2" t="s">
        <v>301</v>
      </c>
      <c r="F146" s="2">
        <v>55</v>
      </c>
      <c r="G146" s="11"/>
      <c r="H146" s="11"/>
      <c r="I146" s="11">
        <v>2.5000000000000001E-2</v>
      </c>
      <c r="J146" s="11">
        <v>7.0000000000000007E-2</v>
      </c>
      <c r="K146" s="11">
        <v>0.03</v>
      </c>
      <c r="L146" s="11"/>
      <c r="M146" s="11"/>
      <c r="N146" s="2">
        <v>152142</v>
      </c>
      <c r="O146" s="11"/>
      <c r="P146" s="11"/>
      <c r="Q146" s="11"/>
      <c r="R146" s="11"/>
      <c r="AB146" s="6"/>
    </row>
    <row r="147" spans="1:28">
      <c r="A147" s="2" t="s">
        <v>298</v>
      </c>
      <c r="B147" s="2" t="s">
        <v>299</v>
      </c>
      <c r="C147" s="15" t="s">
        <v>66</v>
      </c>
      <c r="D147" s="2" t="s">
        <v>70</v>
      </c>
      <c r="E147" s="2" t="s">
        <v>302</v>
      </c>
      <c r="F147" s="2">
        <v>55</v>
      </c>
      <c r="G147" s="11"/>
      <c r="H147" s="11"/>
      <c r="I147" s="11">
        <v>2.5000000000000001E-2</v>
      </c>
      <c r="J147" s="11">
        <v>7.0000000000000007E-2</v>
      </c>
      <c r="K147" s="11">
        <v>0.03</v>
      </c>
      <c r="L147" s="11"/>
      <c r="M147" s="11"/>
      <c r="N147" s="3">
        <v>198356</v>
      </c>
      <c r="O147" s="11"/>
      <c r="P147" s="11"/>
      <c r="Q147" s="11"/>
      <c r="R147" s="11"/>
      <c r="S147" s="2"/>
      <c r="T147" s="2"/>
      <c r="U147" s="2"/>
      <c r="V147" s="2"/>
      <c r="W147" s="2"/>
      <c r="X147" s="2"/>
      <c r="Y147" s="2"/>
      <c r="Z147" s="2"/>
      <c r="AA147" s="2"/>
      <c r="AB147" s="7"/>
    </row>
    <row r="148" spans="1:28" hidden="1">
      <c r="A148" t="s">
        <v>303</v>
      </c>
      <c r="B148" s="2" t="s">
        <v>304</v>
      </c>
      <c r="C148" s="16" t="s">
        <v>61</v>
      </c>
      <c r="D148" t="s">
        <v>62</v>
      </c>
      <c r="E148" t="s">
        <v>305</v>
      </c>
      <c r="F148" s="2">
        <v>41</v>
      </c>
      <c r="G148" s="2">
        <v>278950.8</v>
      </c>
      <c r="H148" s="2">
        <v>163509.5</v>
      </c>
      <c r="I148" s="11"/>
      <c r="J148" s="4"/>
      <c r="K148" s="11">
        <v>0.03</v>
      </c>
      <c r="L148" s="2">
        <v>40740.79</v>
      </c>
      <c r="M148" s="2">
        <v>989</v>
      </c>
      <c r="N148" s="11"/>
      <c r="O148" s="2">
        <v>726</v>
      </c>
      <c r="P148" s="11"/>
      <c r="Q148" s="11"/>
      <c r="R148" s="2">
        <v>0.52180000000000004</v>
      </c>
      <c r="AB148" s="2">
        <v>0.14641799999999999</v>
      </c>
    </row>
    <row r="149" spans="1:28" hidden="1">
      <c r="A149" t="s">
        <v>306</v>
      </c>
      <c r="B149" t="s">
        <v>307</v>
      </c>
      <c r="C149" s="16" t="s">
        <v>61</v>
      </c>
      <c r="D149" t="s">
        <v>70</v>
      </c>
      <c r="E149" s="2" t="s">
        <v>308</v>
      </c>
      <c r="F149">
        <v>158</v>
      </c>
      <c r="G149">
        <v>3264476.8480000002</v>
      </c>
      <c r="H149">
        <v>3097585.7779999999</v>
      </c>
      <c r="K149" s="11">
        <v>0.03</v>
      </c>
      <c r="L149">
        <v>623435.26599999995</v>
      </c>
      <c r="M149">
        <v>11646</v>
      </c>
      <c r="O149">
        <v>8916</v>
      </c>
      <c r="P149">
        <v>53.531999999999996</v>
      </c>
      <c r="Q149">
        <v>17.449000000000002</v>
      </c>
      <c r="R149">
        <v>0.12106</v>
      </c>
      <c r="AB149">
        <v>8.899E-2</v>
      </c>
    </row>
    <row r="150" spans="1:28" hidden="1">
      <c r="A150" s="2" t="s">
        <v>306</v>
      </c>
      <c r="B150" s="2" t="s">
        <v>307</v>
      </c>
      <c r="C150" s="16" t="s">
        <v>64</v>
      </c>
      <c r="D150" s="2" t="s">
        <v>70</v>
      </c>
      <c r="E150" s="2" t="s">
        <v>309</v>
      </c>
      <c r="F150" s="2">
        <v>158</v>
      </c>
      <c r="G150" s="2">
        <v>3548735</v>
      </c>
      <c r="H150" s="2">
        <v>3312807</v>
      </c>
      <c r="I150" s="11">
        <v>2.5000000000000001E-2</v>
      </c>
      <c r="J150" s="2">
        <v>7.2499999999999995E-2</v>
      </c>
      <c r="K150" s="11">
        <v>0.03</v>
      </c>
      <c r="L150" s="2">
        <v>662803.80000000005</v>
      </c>
      <c r="M150" s="2">
        <v>12055</v>
      </c>
      <c r="N150" s="2">
        <v>8663</v>
      </c>
      <c r="O150" s="2">
        <v>9459</v>
      </c>
      <c r="P150" s="2">
        <v>54.981999999999999</v>
      </c>
      <c r="Q150" s="2">
        <v>18.239999999999998</v>
      </c>
      <c r="R150" s="2">
        <v>0.12881000000000001</v>
      </c>
      <c r="AB150">
        <v>8.7290000000000006E-2</v>
      </c>
    </row>
    <row r="151" spans="1:28">
      <c r="A151" s="2" t="s">
        <v>306</v>
      </c>
      <c r="B151" s="2" t="s">
        <v>307</v>
      </c>
      <c r="C151" s="15" t="s">
        <v>66</v>
      </c>
      <c r="D151" s="2" t="s">
        <v>70</v>
      </c>
      <c r="E151" s="2" t="s">
        <v>310</v>
      </c>
      <c r="F151" s="2">
        <v>158</v>
      </c>
      <c r="G151" s="2">
        <v>3368176</v>
      </c>
      <c r="H151" s="2">
        <v>3203495</v>
      </c>
      <c r="I151" s="11">
        <v>2.5000000000000001E-2</v>
      </c>
      <c r="J151" s="2">
        <v>7.2499999999999995E-2</v>
      </c>
      <c r="K151" s="11">
        <v>0.03</v>
      </c>
      <c r="L151" s="2">
        <v>638020.4</v>
      </c>
      <c r="M151" s="2">
        <v>11828</v>
      </c>
      <c r="N151" s="3">
        <v>8638</v>
      </c>
      <c r="O151" s="2">
        <v>9363</v>
      </c>
      <c r="P151" s="2">
        <v>53.942</v>
      </c>
      <c r="Q151" s="2">
        <v>17.974</v>
      </c>
      <c r="R151" s="2">
        <v>0.12057</v>
      </c>
      <c r="S151" s="2"/>
      <c r="T151" s="2"/>
      <c r="U151" s="2"/>
      <c r="V151" s="2"/>
      <c r="W151" s="2"/>
      <c r="X151" s="2"/>
      <c r="Y151" s="2"/>
      <c r="Z151" s="2"/>
      <c r="AA151" s="2"/>
      <c r="AB151">
        <v>8.9510000000000006E-2</v>
      </c>
    </row>
    <row r="152" spans="1:28" hidden="1">
      <c r="A152" s="2" t="s">
        <v>311</v>
      </c>
      <c r="B152" t="s">
        <v>312</v>
      </c>
      <c r="C152" s="16" t="s">
        <v>61</v>
      </c>
      <c r="D152" t="s">
        <v>70</v>
      </c>
      <c r="E152" s="2" t="s">
        <v>313</v>
      </c>
      <c r="F152">
        <v>180</v>
      </c>
      <c r="G152">
        <v>658352.62600000005</v>
      </c>
      <c r="H152">
        <v>403015.342</v>
      </c>
      <c r="J152">
        <v>7.4999999999999997E-2</v>
      </c>
      <c r="K152" s="11">
        <v>0.03</v>
      </c>
      <c r="L152">
        <v>128530.07799999999</v>
      </c>
      <c r="M152">
        <v>2873</v>
      </c>
      <c r="O152">
        <v>2143</v>
      </c>
      <c r="P152">
        <v>44.737000000000002</v>
      </c>
      <c r="Q152">
        <v>22.231000000000002</v>
      </c>
      <c r="R152">
        <v>0.22320000000000001</v>
      </c>
      <c r="AB152">
        <v>7.3899999999999993E-2</v>
      </c>
    </row>
    <row r="153" spans="1:28" hidden="1">
      <c r="A153" s="2" t="s">
        <v>311</v>
      </c>
      <c r="B153" s="2" t="s">
        <v>312</v>
      </c>
      <c r="C153" s="16" t="s">
        <v>64</v>
      </c>
      <c r="D153" s="2" t="s">
        <v>70</v>
      </c>
      <c r="E153" s="2" t="s">
        <v>314</v>
      </c>
      <c r="F153" s="2">
        <v>180</v>
      </c>
      <c r="G153" s="2">
        <v>746340.3</v>
      </c>
      <c r="H153" s="2">
        <v>435149.1</v>
      </c>
      <c r="I153" s="11">
        <v>2.5000000000000001E-2</v>
      </c>
      <c r="J153" s="2">
        <v>7.0000000000000007E-2</v>
      </c>
      <c r="K153" s="11">
        <v>0.03</v>
      </c>
      <c r="L153" s="2">
        <v>135779.79999999999</v>
      </c>
      <c r="M153" s="2">
        <v>2648</v>
      </c>
      <c r="N153" s="2">
        <v>314</v>
      </c>
      <c r="O153" s="2">
        <v>2151</v>
      </c>
      <c r="P153" s="2">
        <v>51.276000000000003</v>
      </c>
      <c r="Q153" s="11"/>
      <c r="R153" s="2">
        <v>0.17660000000000001</v>
      </c>
      <c r="AB153">
        <v>8.3500000000000005E-2</v>
      </c>
    </row>
    <row r="154" spans="1:28">
      <c r="A154" s="2" t="s">
        <v>311</v>
      </c>
      <c r="B154" s="2" t="s">
        <v>312</v>
      </c>
      <c r="C154" s="15" t="s">
        <v>66</v>
      </c>
      <c r="D154" s="2" t="s">
        <v>70</v>
      </c>
      <c r="E154" s="2" t="s">
        <v>315</v>
      </c>
      <c r="F154" s="2">
        <v>180</v>
      </c>
      <c r="G154" s="2">
        <v>723145.4</v>
      </c>
      <c r="H154" s="2">
        <v>425079.1</v>
      </c>
      <c r="I154" s="11">
        <v>2.5000000000000001E-2</v>
      </c>
      <c r="J154" s="2">
        <v>7.2499999999999995E-2</v>
      </c>
      <c r="K154" s="11">
        <v>0.03</v>
      </c>
      <c r="L154" s="2">
        <v>149538</v>
      </c>
      <c r="M154" s="2">
        <v>3024</v>
      </c>
      <c r="N154" s="3">
        <v>298</v>
      </c>
      <c r="O154" s="2">
        <v>2130</v>
      </c>
      <c r="P154" s="2">
        <v>49.45</v>
      </c>
      <c r="Q154" s="2">
        <v>21.664999999999999</v>
      </c>
      <c r="R154" s="2">
        <v>0.15310000000000001</v>
      </c>
      <c r="S154" s="2"/>
      <c r="T154" s="2"/>
      <c r="U154" s="2"/>
      <c r="V154" s="2"/>
      <c r="W154" s="2"/>
      <c r="X154" s="2"/>
      <c r="Y154" s="2"/>
      <c r="Z154" s="2"/>
      <c r="AA154" s="2"/>
      <c r="AB154">
        <v>8.2799999999999999E-2</v>
      </c>
    </row>
    <row r="155" spans="1:28" hidden="1">
      <c r="A155" t="s">
        <v>311</v>
      </c>
      <c r="B155" s="2" t="s">
        <v>316</v>
      </c>
      <c r="C155" s="16" t="s">
        <v>61</v>
      </c>
      <c r="D155" t="s">
        <v>75</v>
      </c>
      <c r="E155" t="s">
        <v>317</v>
      </c>
      <c r="F155" s="2" t="s">
        <v>318</v>
      </c>
      <c r="G155" s="2">
        <v>416164.8</v>
      </c>
      <c r="H155" s="2">
        <v>42194.61</v>
      </c>
      <c r="I155" s="11"/>
      <c r="J155" s="4"/>
      <c r="K155" s="11">
        <v>0.03</v>
      </c>
      <c r="L155" s="2">
        <v>27762.48</v>
      </c>
      <c r="M155" s="2">
        <v>513</v>
      </c>
      <c r="N155" s="11"/>
      <c r="O155" s="11">
        <v>0</v>
      </c>
      <c r="P155" s="11"/>
      <c r="Q155" s="11"/>
      <c r="R155" s="2">
        <v>1.809582</v>
      </c>
      <c r="AB155" s="2">
        <v>0.22419700000000001</v>
      </c>
    </row>
    <row r="156" spans="1:28">
      <c r="A156" s="2" t="s">
        <v>319</v>
      </c>
      <c r="B156" s="2" t="s">
        <v>320</v>
      </c>
      <c r="C156" s="15" t="s">
        <v>66</v>
      </c>
      <c r="D156" s="2" t="s">
        <v>154</v>
      </c>
      <c r="E156" s="2" t="s">
        <v>321</v>
      </c>
      <c r="F156" s="2">
        <v>211</v>
      </c>
      <c r="G156" s="7">
        <v>5266066</v>
      </c>
      <c r="H156" s="11"/>
      <c r="I156" s="11">
        <v>2.5000000000000001E-2</v>
      </c>
      <c r="J156" s="2">
        <v>7.0000000000000007E-2</v>
      </c>
      <c r="K156" s="11">
        <v>0.03</v>
      </c>
      <c r="L156" s="9">
        <v>1264079</v>
      </c>
      <c r="M156" s="10">
        <v>25864</v>
      </c>
      <c r="N156" s="10">
        <v>12459</v>
      </c>
      <c r="O156" s="10">
        <v>18041</v>
      </c>
      <c r="P156" s="11"/>
      <c r="Q156" s="11"/>
      <c r="R156" s="11"/>
      <c r="S156" s="2">
        <v>0.42</v>
      </c>
      <c r="T156" s="2"/>
      <c r="U156" s="2"/>
      <c r="V156" s="2"/>
      <c r="W156" s="2"/>
      <c r="X156" s="2"/>
      <c r="Y156" s="2"/>
      <c r="Z156" s="2"/>
      <c r="AA156" s="2"/>
    </row>
    <row r="157" spans="1:28" hidden="1">
      <c r="A157" t="s">
        <v>319</v>
      </c>
      <c r="B157" t="s">
        <v>320</v>
      </c>
      <c r="C157" s="16" t="s">
        <v>61</v>
      </c>
      <c r="D157" t="s">
        <v>154</v>
      </c>
      <c r="E157" s="2" t="s">
        <v>322</v>
      </c>
      <c r="F157">
        <v>211</v>
      </c>
      <c r="G157">
        <v>5103583</v>
      </c>
      <c r="H157">
        <v>3908833</v>
      </c>
      <c r="I157">
        <v>2.5000000000000001E-2</v>
      </c>
      <c r="J157">
        <v>7.0000000000000007E-2</v>
      </c>
      <c r="K157" s="11">
        <v>0.03</v>
      </c>
      <c r="L157">
        <v>1280302</v>
      </c>
      <c r="M157">
        <v>25864</v>
      </c>
      <c r="O157">
        <v>18041</v>
      </c>
      <c r="P157">
        <v>49.500999999999998</v>
      </c>
      <c r="Q157">
        <v>14.047000000000001</v>
      </c>
      <c r="R157">
        <v>0.20113</v>
      </c>
      <c r="S157" s="2">
        <v>0.42</v>
      </c>
      <c r="AB157">
        <v>0.14052999999999999</v>
      </c>
    </row>
    <row r="158" spans="1:28">
      <c r="A158" s="2" t="s">
        <v>319</v>
      </c>
      <c r="B158" s="2" t="s">
        <v>323</v>
      </c>
      <c r="C158" s="15" t="s">
        <v>66</v>
      </c>
      <c r="D158" s="2" t="s">
        <v>70</v>
      </c>
      <c r="E158" s="2" t="s">
        <v>324</v>
      </c>
      <c r="F158" s="2">
        <v>76</v>
      </c>
      <c r="G158" s="7">
        <v>86034569</v>
      </c>
      <c r="H158" s="11"/>
      <c r="I158" s="11">
        <v>2.5000000000000001E-2</v>
      </c>
      <c r="J158" s="11">
        <v>7.0000000000000007E-2</v>
      </c>
      <c r="K158" s="11">
        <v>0.03</v>
      </c>
      <c r="L158" s="9">
        <v>14459118</v>
      </c>
      <c r="M158" s="10">
        <v>190572</v>
      </c>
      <c r="N158" s="10">
        <v>49872</v>
      </c>
      <c r="O158" s="10">
        <v>154116</v>
      </c>
      <c r="P158" s="2">
        <v>75.872</v>
      </c>
      <c r="Q158" s="2">
        <v>29.821000000000002</v>
      </c>
      <c r="R158" s="11"/>
      <c r="S158" s="2">
        <v>0.42</v>
      </c>
      <c r="T158" s="2"/>
      <c r="U158" s="2"/>
      <c r="V158" s="2"/>
      <c r="W158" s="2"/>
      <c r="X158" s="2"/>
      <c r="Y158" s="2"/>
      <c r="Z158" s="2"/>
      <c r="AA158" s="2"/>
      <c r="AB158" s="6"/>
    </row>
    <row r="159" spans="1:28" hidden="1">
      <c r="A159" s="2" t="s">
        <v>319</v>
      </c>
      <c r="B159" t="s">
        <v>323</v>
      </c>
      <c r="C159" s="16" t="s">
        <v>61</v>
      </c>
      <c r="D159" t="s">
        <v>70</v>
      </c>
      <c r="E159" s="2" t="s">
        <v>325</v>
      </c>
      <c r="F159">
        <v>76</v>
      </c>
      <c r="G159">
        <v>85845125</v>
      </c>
      <c r="H159">
        <v>63615892</v>
      </c>
      <c r="I159">
        <v>2.5000000000000001E-2</v>
      </c>
      <c r="J159">
        <v>7.0000000000000007E-2</v>
      </c>
      <c r="K159" s="11">
        <v>0.03</v>
      </c>
      <c r="L159">
        <v>14459118</v>
      </c>
      <c r="M159">
        <v>190572</v>
      </c>
      <c r="O159">
        <v>154116</v>
      </c>
      <c r="P159">
        <v>75.872</v>
      </c>
      <c r="Q159">
        <v>29.821000000000002</v>
      </c>
      <c r="R159">
        <v>0.25774000000000002</v>
      </c>
      <c r="S159" s="2">
        <v>0.42</v>
      </c>
      <c r="AB159">
        <v>0.14523</v>
      </c>
    </row>
    <row r="160" spans="1:28" hidden="1">
      <c r="A160" s="2" t="s">
        <v>319</v>
      </c>
      <c r="B160" s="2" t="s">
        <v>323</v>
      </c>
      <c r="C160" s="16" t="s">
        <v>64</v>
      </c>
      <c r="D160" s="2" t="s">
        <v>70</v>
      </c>
      <c r="E160" s="2" t="s">
        <v>326</v>
      </c>
      <c r="F160" s="2">
        <v>76</v>
      </c>
      <c r="G160" s="7">
        <v>89884946</v>
      </c>
      <c r="H160" s="11"/>
      <c r="I160" s="11">
        <v>2.5000000000000001E-2</v>
      </c>
      <c r="J160" s="11">
        <v>7.0000000000000007E-2</v>
      </c>
      <c r="K160" s="11">
        <v>0.03</v>
      </c>
      <c r="L160" s="9">
        <v>14981461</v>
      </c>
      <c r="M160" s="10">
        <v>190572</v>
      </c>
      <c r="N160" s="9">
        <v>49872</v>
      </c>
      <c r="O160" s="10">
        <v>154116</v>
      </c>
      <c r="P160" s="11"/>
      <c r="Q160" s="11"/>
      <c r="R160" s="11"/>
      <c r="S160" s="2">
        <v>0.42</v>
      </c>
      <c r="AB160" s="6"/>
    </row>
    <row r="161" spans="1:28">
      <c r="A161" s="2" t="s">
        <v>319</v>
      </c>
      <c r="B161" s="2" t="s">
        <v>327</v>
      </c>
      <c r="C161" s="15" t="s">
        <v>66</v>
      </c>
      <c r="D161" s="2" t="s">
        <v>75</v>
      </c>
      <c r="E161" s="2" t="s">
        <v>328</v>
      </c>
      <c r="F161" s="2">
        <v>149</v>
      </c>
      <c r="G161" s="7">
        <v>22477031</v>
      </c>
      <c r="H161" s="11"/>
      <c r="I161" s="11">
        <v>2.5000000000000001E-2</v>
      </c>
      <c r="J161" s="2">
        <v>7.0000000000000007E-2</v>
      </c>
      <c r="K161" s="11">
        <v>0.03</v>
      </c>
      <c r="L161" s="9">
        <v>1302872</v>
      </c>
      <c r="M161" s="10">
        <v>11237</v>
      </c>
      <c r="N161" s="10">
        <v>103</v>
      </c>
      <c r="O161" s="10">
        <v>16593</v>
      </c>
      <c r="P161" s="2">
        <v>116220</v>
      </c>
      <c r="Q161" s="2">
        <v>74.778999999999996</v>
      </c>
      <c r="R161" s="11"/>
      <c r="S161" s="2">
        <v>0.42</v>
      </c>
      <c r="T161" s="2"/>
      <c r="U161" s="2"/>
      <c r="V161" s="2"/>
      <c r="W161" s="2"/>
      <c r="X161" s="2"/>
      <c r="Y161" s="2"/>
      <c r="Z161" s="2"/>
      <c r="AA161" s="2"/>
    </row>
    <row r="162" spans="1:28" hidden="1">
      <c r="A162" s="2" t="s">
        <v>319</v>
      </c>
      <c r="B162" t="s">
        <v>327</v>
      </c>
      <c r="C162" s="16" t="s">
        <v>61</v>
      </c>
      <c r="D162" s="2" t="s">
        <v>75</v>
      </c>
      <c r="E162" s="2" t="s">
        <v>329</v>
      </c>
      <c r="F162">
        <v>149</v>
      </c>
      <c r="G162">
        <v>21787888</v>
      </c>
      <c r="H162">
        <v>12876671</v>
      </c>
      <c r="I162">
        <v>2.5000000000000001E-2</v>
      </c>
      <c r="J162">
        <v>7.0000000000000007E-2</v>
      </c>
      <c r="K162" s="11">
        <v>0.03</v>
      </c>
      <c r="L162">
        <v>1305960</v>
      </c>
      <c r="M162">
        <v>11237</v>
      </c>
      <c r="O162">
        <v>16593</v>
      </c>
      <c r="P162">
        <v>116220</v>
      </c>
      <c r="Q162">
        <v>74.778999999999996</v>
      </c>
      <c r="R162">
        <v>1.0867599999999999</v>
      </c>
      <c r="S162" s="2">
        <v>0.42</v>
      </c>
      <c r="AB162">
        <v>0.53622999999999998</v>
      </c>
    </row>
    <row r="163" spans="1:28" hidden="1">
      <c r="A163" s="2" t="s">
        <v>319</v>
      </c>
      <c r="B163" s="2" t="s">
        <v>327</v>
      </c>
      <c r="C163" s="16" t="s">
        <v>64</v>
      </c>
      <c r="D163" s="2" t="s">
        <v>75</v>
      </c>
      <c r="E163" s="2" t="s">
        <v>330</v>
      </c>
      <c r="F163" s="2">
        <v>149</v>
      </c>
      <c r="G163" s="7">
        <v>23302435</v>
      </c>
      <c r="H163" s="11"/>
      <c r="I163" s="11">
        <v>2.5000000000000001E-2</v>
      </c>
      <c r="J163" s="2">
        <v>7.0000000000000007E-2</v>
      </c>
      <c r="K163" s="11">
        <v>0.03</v>
      </c>
      <c r="L163" s="9">
        <v>1336843</v>
      </c>
      <c r="M163" s="10">
        <v>11237</v>
      </c>
      <c r="N163" s="10">
        <v>103</v>
      </c>
      <c r="O163" s="10">
        <v>16593</v>
      </c>
      <c r="P163" s="11"/>
      <c r="Q163" s="11"/>
      <c r="R163" s="2">
        <v>0.60665999999999998</v>
      </c>
      <c r="S163" s="2">
        <v>0.42</v>
      </c>
    </row>
    <row r="164" spans="1:28">
      <c r="A164" s="2" t="s">
        <v>319</v>
      </c>
      <c r="B164" s="2" t="s">
        <v>331</v>
      </c>
      <c r="C164" s="15" t="s">
        <v>66</v>
      </c>
      <c r="D164" s="2" t="s">
        <v>80</v>
      </c>
      <c r="E164" s="2" t="s">
        <v>332</v>
      </c>
      <c r="F164" s="2">
        <v>150</v>
      </c>
      <c r="G164" s="7">
        <v>49089967</v>
      </c>
      <c r="H164" s="11"/>
      <c r="I164" s="11">
        <v>2.5000000000000001E-2</v>
      </c>
      <c r="J164" s="2">
        <v>7.0000000000000007E-2</v>
      </c>
      <c r="K164" s="11">
        <v>0.03</v>
      </c>
      <c r="L164" s="9">
        <v>4047772</v>
      </c>
      <c r="M164" s="10">
        <v>36562</v>
      </c>
      <c r="N164" s="10">
        <v>2431</v>
      </c>
      <c r="O164" s="10">
        <v>50124</v>
      </c>
      <c r="P164" s="2">
        <v>110.858</v>
      </c>
      <c r="Q164" s="2">
        <v>51.619</v>
      </c>
      <c r="R164" s="11"/>
      <c r="S164" s="2">
        <v>0.42</v>
      </c>
      <c r="T164" s="2"/>
      <c r="U164" s="2"/>
      <c r="V164" s="2"/>
      <c r="W164" s="2"/>
      <c r="X164" s="2"/>
      <c r="Y164" s="2"/>
      <c r="Z164" s="2"/>
      <c r="AA164" s="2"/>
    </row>
    <row r="165" spans="1:28" hidden="1">
      <c r="A165" s="2" t="s">
        <v>319</v>
      </c>
      <c r="B165" t="s">
        <v>331</v>
      </c>
      <c r="C165" s="16" t="s">
        <v>61</v>
      </c>
      <c r="D165" s="2" t="s">
        <v>80</v>
      </c>
      <c r="E165" s="2" t="s">
        <v>333</v>
      </c>
      <c r="F165">
        <v>150</v>
      </c>
      <c r="G165">
        <v>48024798</v>
      </c>
      <c r="H165">
        <v>36098314</v>
      </c>
      <c r="I165">
        <v>2.5000000000000001E-2</v>
      </c>
      <c r="J165">
        <v>7.0000000000000007E-2</v>
      </c>
      <c r="K165" s="11">
        <v>0.03</v>
      </c>
      <c r="L165">
        <v>4053205</v>
      </c>
      <c r="M165">
        <v>36562</v>
      </c>
      <c r="O165">
        <v>50124</v>
      </c>
      <c r="P165">
        <v>110.858</v>
      </c>
      <c r="Q165">
        <v>51.619</v>
      </c>
      <c r="S165" s="2">
        <v>0.42</v>
      </c>
    </row>
    <row r="166" spans="1:28" hidden="1">
      <c r="A166" s="2" t="s">
        <v>319</v>
      </c>
      <c r="B166" s="2" t="s">
        <v>331</v>
      </c>
      <c r="C166" s="16" t="s">
        <v>64</v>
      </c>
      <c r="D166" s="2" t="s">
        <v>80</v>
      </c>
      <c r="E166" s="2" t="s">
        <v>334</v>
      </c>
      <c r="F166" s="2">
        <v>150</v>
      </c>
      <c r="G166" s="7">
        <v>51317492</v>
      </c>
      <c r="H166" s="11"/>
      <c r="I166" s="11">
        <v>2.5000000000000001E-2</v>
      </c>
      <c r="J166" s="2">
        <v>7.0000000000000007E-2</v>
      </c>
      <c r="K166" s="11">
        <v>0.03</v>
      </c>
      <c r="L166" s="9">
        <v>4244806</v>
      </c>
      <c r="M166" s="10">
        <v>36562</v>
      </c>
      <c r="N166" s="10">
        <v>2431</v>
      </c>
      <c r="O166" s="10">
        <v>50124</v>
      </c>
      <c r="P166" s="2">
        <v>88.406999999999996</v>
      </c>
      <c r="Q166" s="2">
        <v>50.704000000000001</v>
      </c>
      <c r="R166" s="11"/>
      <c r="S166" s="2">
        <v>0.42</v>
      </c>
      <c r="AB166">
        <v>0.66173999999999999</v>
      </c>
    </row>
    <row r="167" spans="1:28">
      <c r="A167" s="2" t="s">
        <v>319</v>
      </c>
      <c r="B167" s="2" t="s">
        <v>335</v>
      </c>
      <c r="C167" s="15" t="s">
        <v>66</v>
      </c>
      <c r="D167" s="2" t="s">
        <v>154</v>
      </c>
      <c r="E167" s="2" t="s">
        <v>336</v>
      </c>
      <c r="F167" s="2">
        <v>77</v>
      </c>
      <c r="G167" s="7">
        <v>73346850</v>
      </c>
      <c r="H167" s="11"/>
      <c r="I167" s="11">
        <v>2.5000000000000001E-2</v>
      </c>
      <c r="J167" s="2">
        <v>7.0000000000000007E-2</v>
      </c>
      <c r="K167" s="11">
        <v>0.03</v>
      </c>
      <c r="L167" s="9">
        <v>10404404</v>
      </c>
      <c r="M167" s="10">
        <v>123336</v>
      </c>
      <c r="N167" s="10">
        <v>21584</v>
      </c>
      <c r="O167" s="9">
        <v>88507</v>
      </c>
      <c r="P167" s="2">
        <v>88.406999999999996</v>
      </c>
      <c r="Q167" s="2">
        <v>50.704000000000001</v>
      </c>
      <c r="R167" s="11"/>
      <c r="S167" s="2">
        <v>0.42</v>
      </c>
      <c r="T167" s="2"/>
      <c r="U167" s="2"/>
      <c r="V167" s="2"/>
      <c r="W167" s="2"/>
      <c r="X167" s="2"/>
      <c r="Y167" s="2"/>
      <c r="Z167" s="2"/>
      <c r="AA167" s="2"/>
    </row>
    <row r="168" spans="1:28" hidden="1">
      <c r="A168" t="s">
        <v>319</v>
      </c>
      <c r="B168" t="s">
        <v>335</v>
      </c>
      <c r="C168" s="16" t="s">
        <v>61</v>
      </c>
      <c r="D168" t="s">
        <v>154</v>
      </c>
      <c r="E168" s="2" t="s">
        <v>337</v>
      </c>
      <c r="F168">
        <v>77</v>
      </c>
      <c r="G168">
        <v>72205318</v>
      </c>
      <c r="H168">
        <v>50012149</v>
      </c>
      <c r="I168">
        <v>2.5000000000000001E-2</v>
      </c>
      <c r="J168">
        <v>7.0000000000000007E-2</v>
      </c>
      <c r="K168" s="11">
        <v>0.03</v>
      </c>
      <c r="L168">
        <v>10404404</v>
      </c>
      <c r="M168">
        <v>121764</v>
      </c>
      <c r="O168">
        <v>86295</v>
      </c>
      <c r="P168">
        <v>85.447000000000003</v>
      </c>
      <c r="Q168">
        <v>49.067</v>
      </c>
      <c r="R168">
        <v>0.34511999999999998</v>
      </c>
      <c r="S168" s="2">
        <v>0.42</v>
      </c>
      <c r="AB168">
        <v>0.14934</v>
      </c>
    </row>
    <row r="169" spans="1:28" hidden="1">
      <c r="A169" s="2" t="s">
        <v>319</v>
      </c>
      <c r="B169" s="2" t="s">
        <v>335</v>
      </c>
      <c r="C169" s="16" t="s">
        <v>64</v>
      </c>
      <c r="D169" s="2" t="s">
        <v>154</v>
      </c>
      <c r="E169" s="2" t="s">
        <v>338</v>
      </c>
      <c r="F169" s="2">
        <v>77</v>
      </c>
      <c r="G169" s="7">
        <v>75115996</v>
      </c>
      <c r="H169" s="11"/>
      <c r="I169" s="11">
        <v>2.5000000000000001E-2</v>
      </c>
      <c r="J169" s="2">
        <v>7.0000000000000007E-2</v>
      </c>
      <c r="K169" s="11">
        <v>0.03</v>
      </c>
      <c r="L169" s="9">
        <v>10903755</v>
      </c>
      <c r="M169" s="10">
        <v>123336</v>
      </c>
      <c r="N169" s="10">
        <v>21584</v>
      </c>
      <c r="O169" s="10">
        <v>88507</v>
      </c>
      <c r="P169" s="11"/>
      <c r="Q169" s="2">
        <v>50.704000000000001</v>
      </c>
      <c r="R169" s="11"/>
      <c r="S169" s="2">
        <v>0.42</v>
      </c>
    </row>
    <row r="170" spans="1:28" hidden="1">
      <c r="A170" s="2" t="s">
        <v>319</v>
      </c>
      <c r="B170" s="2" t="s">
        <v>339</v>
      </c>
      <c r="C170" s="16" t="s">
        <v>64</v>
      </c>
      <c r="D170" s="2" t="s">
        <v>154</v>
      </c>
      <c r="E170" s="2" t="s">
        <v>340</v>
      </c>
      <c r="F170" s="2">
        <v>211</v>
      </c>
      <c r="G170" s="7">
        <v>5460141</v>
      </c>
      <c r="H170" s="11"/>
      <c r="I170" s="11">
        <v>2.5000000000000001E-2</v>
      </c>
      <c r="J170" s="2">
        <v>7.0000000000000007E-2</v>
      </c>
      <c r="K170" s="11">
        <v>0.03</v>
      </c>
      <c r="L170" s="9">
        <v>1353266</v>
      </c>
      <c r="M170" s="10">
        <v>25864</v>
      </c>
      <c r="N170" s="9">
        <v>12459</v>
      </c>
      <c r="O170" s="10">
        <v>18041</v>
      </c>
      <c r="P170" s="2">
        <v>51.276000000000003</v>
      </c>
      <c r="Q170" s="11"/>
      <c r="R170" s="2">
        <v>0.17660000000000001</v>
      </c>
      <c r="S170" s="2">
        <v>0.42</v>
      </c>
    </row>
    <row r="171" spans="1:28" hidden="1">
      <c r="A171" t="s">
        <v>341</v>
      </c>
      <c r="B171" t="s">
        <v>342</v>
      </c>
      <c r="C171" s="16" t="s">
        <v>61</v>
      </c>
      <c r="D171" t="s">
        <v>70</v>
      </c>
      <c r="E171" s="2" t="s">
        <v>343</v>
      </c>
      <c r="F171">
        <v>178</v>
      </c>
      <c r="G171">
        <v>696669</v>
      </c>
      <c r="H171">
        <v>721090</v>
      </c>
      <c r="I171">
        <v>3.2500000000000001E-2</v>
      </c>
      <c r="J171">
        <v>7.4999999999999997E-2</v>
      </c>
      <c r="K171" s="11">
        <v>0.03</v>
      </c>
      <c r="L171">
        <v>124681</v>
      </c>
      <c r="M171">
        <v>2425</v>
      </c>
      <c r="O171">
        <v>1545</v>
      </c>
      <c r="P171">
        <v>51.414999999999999</v>
      </c>
      <c r="Q171">
        <v>22.047000000000001</v>
      </c>
      <c r="R171">
        <v>5.5599999999999997E-2</v>
      </c>
      <c r="AB171">
        <v>0.12720000000000001</v>
      </c>
    </row>
    <row r="172" spans="1:28" hidden="1">
      <c r="A172" s="2" t="s">
        <v>341</v>
      </c>
      <c r="B172" s="2" t="s">
        <v>342</v>
      </c>
      <c r="C172" s="16" t="s">
        <v>64</v>
      </c>
      <c r="D172" s="2" t="s">
        <v>70</v>
      </c>
      <c r="E172" s="2" t="s">
        <v>344</v>
      </c>
      <c r="F172" s="2">
        <v>178</v>
      </c>
      <c r="G172" s="2">
        <v>792457</v>
      </c>
      <c r="H172" s="2">
        <v>761919</v>
      </c>
      <c r="I172" s="2">
        <v>0.03</v>
      </c>
      <c r="J172" s="2">
        <v>7.0000000000000007E-2</v>
      </c>
      <c r="K172" s="11">
        <v>0.03</v>
      </c>
      <c r="L172" s="2">
        <v>132753</v>
      </c>
      <c r="M172" s="2">
        <v>2470</v>
      </c>
      <c r="N172" s="2">
        <v>21584</v>
      </c>
      <c r="O172" s="2">
        <v>1652</v>
      </c>
      <c r="P172" s="2">
        <v>53.746000000000002</v>
      </c>
      <c r="Q172" s="2">
        <v>23.902000000000001</v>
      </c>
      <c r="R172" s="2">
        <v>7.46E-2</v>
      </c>
      <c r="AB172">
        <v>0.1181</v>
      </c>
    </row>
    <row r="173" spans="1:28">
      <c r="A173" s="2" t="s">
        <v>341</v>
      </c>
      <c r="B173" s="2" t="s">
        <v>342</v>
      </c>
      <c r="C173" s="15" t="s">
        <v>66</v>
      </c>
      <c r="D173" s="2" t="s">
        <v>70</v>
      </c>
      <c r="E173" s="2" t="s">
        <v>345</v>
      </c>
      <c r="F173" s="2">
        <v>178</v>
      </c>
      <c r="G173" s="12">
        <v>730242</v>
      </c>
      <c r="H173" s="12">
        <v>727125</v>
      </c>
      <c r="I173" s="2">
        <v>3.2500000000000001E-2</v>
      </c>
      <c r="J173" s="2">
        <v>7.0999999999999994E-2</v>
      </c>
      <c r="K173" s="11">
        <v>0.03</v>
      </c>
      <c r="L173" s="2">
        <v>130172</v>
      </c>
      <c r="M173" s="2">
        <v>2457</v>
      </c>
      <c r="N173" s="3">
        <v>21584</v>
      </c>
      <c r="O173" s="2">
        <v>1595</v>
      </c>
      <c r="P173" s="2">
        <v>52.98</v>
      </c>
      <c r="Q173" s="2">
        <v>22.864000000000001</v>
      </c>
      <c r="R173" s="2">
        <v>6.8900000000000003E-2</v>
      </c>
      <c r="S173" s="2"/>
      <c r="T173" s="2"/>
      <c r="U173" s="2"/>
      <c r="V173" s="2"/>
      <c r="W173" s="2"/>
      <c r="X173" s="2"/>
      <c r="Y173" s="2"/>
      <c r="Z173" s="2"/>
      <c r="AA173" s="2"/>
      <c r="AB173">
        <v>0.1273</v>
      </c>
    </row>
    <row r="174" spans="1:28">
      <c r="A174" s="2" t="s">
        <v>346</v>
      </c>
      <c r="B174" s="2" t="s">
        <v>347</v>
      </c>
      <c r="C174" s="15" t="s">
        <v>66</v>
      </c>
      <c r="D174" s="2" t="s">
        <v>70</v>
      </c>
      <c r="E174" s="2" t="s">
        <v>348</v>
      </c>
      <c r="F174" s="2">
        <v>203</v>
      </c>
      <c r="G174" s="2">
        <v>483904.7</v>
      </c>
      <c r="H174" s="2">
        <v>253722.4</v>
      </c>
      <c r="I174" s="2">
        <v>2.5000000000000001E-2</v>
      </c>
      <c r="J174" s="2">
        <v>7.4999999999999997E-2</v>
      </c>
      <c r="K174" s="11">
        <v>0.03</v>
      </c>
      <c r="L174" s="2">
        <v>79047.56</v>
      </c>
      <c r="M174" s="2">
        <v>1239</v>
      </c>
      <c r="N174" s="3">
        <v>14</v>
      </c>
      <c r="O174" s="2">
        <v>1473</v>
      </c>
      <c r="P174" s="2">
        <v>63.798999999999999</v>
      </c>
      <c r="Q174" s="2">
        <v>24.341000000000001</v>
      </c>
      <c r="R174" s="2">
        <v>0.20879</v>
      </c>
      <c r="S174" s="2"/>
      <c r="T174" s="2"/>
      <c r="U174" s="2"/>
      <c r="V174" s="2"/>
      <c r="W174" s="2"/>
      <c r="X174" s="2"/>
      <c r="Y174" s="2"/>
      <c r="Z174" s="2"/>
      <c r="AA174" s="2"/>
      <c r="AB174">
        <v>9.7470000000000001E-2</v>
      </c>
    </row>
    <row r="175" spans="1:28" hidden="1">
      <c r="A175" s="2" t="s">
        <v>346</v>
      </c>
      <c r="B175" t="s">
        <v>347</v>
      </c>
      <c r="C175" s="16" t="s">
        <v>61</v>
      </c>
      <c r="D175" t="s">
        <v>70</v>
      </c>
      <c r="E175" s="2" t="s">
        <v>349</v>
      </c>
      <c r="F175">
        <v>203</v>
      </c>
      <c r="G175">
        <v>482025.30499999999</v>
      </c>
      <c r="H175">
        <v>249518.54699999999</v>
      </c>
      <c r="I175">
        <v>2.5000000000000001E-2</v>
      </c>
      <c r="J175">
        <v>7.4999999999999997E-2</v>
      </c>
      <c r="K175" s="11">
        <v>0.03</v>
      </c>
      <c r="L175">
        <v>75407.531000000003</v>
      </c>
      <c r="M175">
        <v>1201</v>
      </c>
      <c r="O175">
        <v>1487</v>
      </c>
      <c r="P175">
        <v>62.786999999999999</v>
      </c>
      <c r="Q175">
        <v>23.997</v>
      </c>
      <c r="R175">
        <v>0.21587000000000001</v>
      </c>
      <c r="AB175">
        <v>9.8180000000000003E-2</v>
      </c>
    </row>
    <row r="176" spans="1:28" hidden="1">
      <c r="A176" s="2" t="s">
        <v>346</v>
      </c>
      <c r="B176" s="2" t="s">
        <v>347</v>
      </c>
      <c r="C176" s="16" t="s">
        <v>64</v>
      </c>
      <c r="D176" s="2" t="s">
        <v>70</v>
      </c>
      <c r="E176" s="2" t="s">
        <v>350</v>
      </c>
      <c r="F176" s="2">
        <v>203</v>
      </c>
      <c r="G176" s="2">
        <v>490096.8</v>
      </c>
      <c r="H176" s="2">
        <v>257351</v>
      </c>
      <c r="I176" s="2">
        <v>2.5000000000000001E-2</v>
      </c>
      <c r="J176" s="2">
        <v>7.4999999999999997E-2</v>
      </c>
      <c r="K176" s="11">
        <v>0.03</v>
      </c>
      <c r="L176" s="2">
        <v>86257.02</v>
      </c>
      <c r="M176" s="2">
        <v>1229</v>
      </c>
      <c r="N176" s="2">
        <v>151</v>
      </c>
      <c r="O176" s="2">
        <v>1467</v>
      </c>
      <c r="P176" s="2">
        <v>70.185000000000002</v>
      </c>
      <c r="Q176" s="2">
        <v>27.841000000000001</v>
      </c>
      <c r="R176" s="2">
        <v>0.20194000000000001</v>
      </c>
      <c r="AB176">
        <v>0.10335</v>
      </c>
    </row>
    <row r="177" spans="1:59" hidden="1">
      <c r="A177" s="2" t="s">
        <v>346</v>
      </c>
      <c r="B177" t="s">
        <v>351</v>
      </c>
      <c r="C177" s="16" t="s">
        <v>61</v>
      </c>
      <c r="D177" s="2" t="s">
        <v>62</v>
      </c>
      <c r="E177" s="2" t="s">
        <v>352</v>
      </c>
      <c r="F177">
        <v>172</v>
      </c>
      <c r="G177">
        <v>1406832.6640000001</v>
      </c>
      <c r="H177">
        <v>737383.005</v>
      </c>
      <c r="I177">
        <v>2.5000000000000001E-2</v>
      </c>
      <c r="J177">
        <v>7.4999999999999997E-2</v>
      </c>
      <c r="K177" s="11">
        <v>0.03</v>
      </c>
      <c r="L177">
        <v>143575.171</v>
      </c>
      <c r="M177">
        <v>1454</v>
      </c>
      <c r="O177">
        <v>1584</v>
      </c>
      <c r="P177">
        <v>94.271000000000001</v>
      </c>
      <c r="Q177">
        <v>49.496000000000002</v>
      </c>
      <c r="R177">
        <v>0.53447</v>
      </c>
      <c r="AB177">
        <v>0.22034000000000001</v>
      </c>
    </row>
    <row r="178" spans="1:59" hidden="1">
      <c r="A178" s="2" t="s">
        <v>346</v>
      </c>
      <c r="B178" s="2" t="s">
        <v>351</v>
      </c>
      <c r="C178" s="16" t="s">
        <v>64</v>
      </c>
      <c r="D178" s="2" t="s">
        <v>62</v>
      </c>
      <c r="E178" s="2" t="s">
        <v>353</v>
      </c>
      <c r="F178" s="2">
        <v>172</v>
      </c>
      <c r="G178" s="2">
        <v>1451453</v>
      </c>
      <c r="H178" s="2">
        <v>787558.8</v>
      </c>
      <c r="I178" s="2">
        <v>2.5000000000000001E-2</v>
      </c>
      <c r="J178" s="2">
        <v>7.4999999999999997E-2</v>
      </c>
      <c r="K178" s="11">
        <v>0.03</v>
      </c>
      <c r="L178" s="2">
        <v>147301.4</v>
      </c>
      <c r="M178" s="2">
        <v>1480</v>
      </c>
      <c r="N178" s="2">
        <v>149</v>
      </c>
      <c r="O178" s="2">
        <v>1606</v>
      </c>
      <c r="P178" s="2">
        <v>95.033000000000001</v>
      </c>
      <c r="Q178" s="2">
        <v>50.753</v>
      </c>
      <c r="R178" s="2">
        <v>0.52954999999999997</v>
      </c>
      <c r="AB178">
        <v>0.21915000000000001</v>
      </c>
    </row>
    <row r="179" spans="1:59">
      <c r="A179" s="2" t="s">
        <v>346</v>
      </c>
      <c r="B179" s="2" t="s">
        <v>351</v>
      </c>
      <c r="C179" s="15" t="s">
        <v>66</v>
      </c>
      <c r="D179" s="2" t="s">
        <v>62</v>
      </c>
      <c r="E179" s="2" t="s">
        <v>354</v>
      </c>
      <c r="F179" s="2">
        <v>172</v>
      </c>
      <c r="G179" s="2">
        <v>1451453</v>
      </c>
      <c r="H179" s="2">
        <v>787558.8</v>
      </c>
      <c r="I179" s="2">
        <v>2.5000000000000001E-2</v>
      </c>
      <c r="J179" s="2">
        <v>7.4999999999999997E-2</v>
      </c>
      <c r="K179" s="11">
        <v>0.03</v>
      </c>
      <c r="L179" s="2">
        <v>147301.4</v>
      </c>
      <c r="M179" s="2">
        <v>1480</v>
      </c>
      <c r="N179" s="3">
        <v>157</v>
      </c>
      <c r="O179" s="2">
        <v>1606</v>
      </c>
      <c r="P179" s="2">
        <v>95.033000000000001</v>
      </c>
      <c r="Q179" s="2">
        <v>50.753</v>
      </c>
      <c r="R179" s="2">
        <v>0.52954999999999997</v>
      </c>
      <c r="S179" s="2"/>
      <c r="T179" s="2"/>
      <c r="U179" s="2"/>
      <c r="V179" s="2"/>
      <c r="W179" s="2"/>
      <c r="X179" s="2"/>
      <c r="Y179" s="2"/>
      <c r="Z179" s="2"/>
      <c r="AA179" s="2"/>
      <c r="AB179">
        <v>0.21915000000000001</v>
      </c>
    </row>
    <row r="180" spans="1:59" hidden="1">
      <c r="A180" t="s">
        <v>346</v>
      </c>
      <c r="B180" t="s">
        <v>355</v>
      </c>
      <c r="C180" s="16" t="s">
        <v>61</v>
      </c>
      <c r="D180" t="s">
        <v>154</v>
      </c>
      <c r="E180" s="2" t="s">
        <v>356</v>
      </c>
      <c r="F180">
        <v>162</v>
      </c>
      <c r="G180">
        <v>2136385</v>
      </c>
      <c r="H180">
        <v>1365013</v>
      </c>
      <c r="I180">
        <v>2.75E-2</v>
      </c>
      <c r="J180">
        <v>7.4999999999999997E-2</v>
      </c>
      <c r="K180" s="11">
        <v>0.03</v>
      </c>
      <c r="L180">
        <v>359359.50699999998</v>
      </c>
      <c r="M180">
        <v>7569</v>
      </c>
      <c r="O180">
        <v>4678</v>
      </c>
      <c r="P180">
        <v>46.232999999999997</v>
      </c>
      <c r="Q180">
        <v>25.844000000000001</v>
      </c>
      <c r="R180">
        <v>0.27050000000000002</v>
      </c>
      <c r="AB180">
        <v>0.2278</v>
      </c>
    </row>
    <row r="181" spans="1:59" hidden="1">
      <c r="A181" s="2" t="s">
        <v>346</v>
      </c>
      <c r="B181" s="2" t="s">
        <v>355</v>
      </c>
      <c r="C181" s="16" t="s">
        <v>64</v>
      </c>
      <c r="D181" s="2" t="s">
        <v>154</v>
      </c>
      <c r="E181" s="2" t="s">
        <v>357</v>
      </c>
      <c r="F181" s="2">
        <v>162</v>
      </c>
      <c r="G181" s="2">
        <v>2265653</v>
      </c>
      <c r="H181" s="2">
        <v>1417961</v>
      </c>
      <c r="I181" s="2">
        <v>2.75E-2</v>
      </c>
      <c r="J181" s="2">
        <v>7.4999999999999997E-2</v>
      </c>
      <c r="K181" s="11">
        <v>0.03</v>
      </c>
      <c r="L181" s="2">
        <v>364799.3</v>
      </c>
      <c r="M181" s="2">
        <v>7366</v>
      </c>
      <c r="N181" s="2">
        <v>14</v>
      </c>
      <c r="O181" s="2">
        <v>4980</v>
      </c>
      <c r="P181" s="2">
        <v>47.570999999999998</v>
      </c>
      <c r="Q181" s="2">
        <v>26.545999999999999</v>
      </c>
      <c r="R181" s="2">
        <v>0.27250000000000002</v>
      </c>
      <c r="AB181">
        <v>0.2266</v>
      </c>
    </row>
    <row r="182" spans="1:59">
      <c r="A182" s="2" t="s">
        <v>346</v>
      </c>
      <c r="B182" s="2" t="s">
        <v>355</v>
      </c>
      <c r="C182" s="15" t="s">
        <v>66</v>
      </c>
      <c r="D182" s="2" t="s">
        <v>154</v>
      </c>
      <c r="E182" s="2" t="s">
        <v>358</v>
      </c>
      <c r="F182" s="2">
        <v>162</v>
      </c>
      <c r="G182" s="2">
        <v>2192893</v>
      </c>
      <c r="H182" s="2">
        <v>1378824</v>
      </c>
      <c r="I182" s="2">
        <v>2.75E-2</v>
      </c>
      <c r="J182" s="2">
        <v>7.4999999999999997E-2</v>
      </c>
      <c r="K182" s="11">
        <v>0.03</v>
      </c>
      <c r="L182" s="2">
        <v>375598.3</v>
      </c>
      <c r="M182" s="2">
        <v>7177</v>
      </c>
      <c r="N182" s="3">
        <v>140</v>
      </c>
      <c r="O182" s="2">
        <v>4826</v>
      </c>
      <c r="P182" s="2">
        <v>47.3</v>
      </c>
      <c r="Q182" s="2">
        <v>26.109000000000002</v>
      </c>
      <c r="R182" s="2">
        <v>0.2697</v>
      </c>
      <c r="S182" s="2"/>
      <c r="T182" s="2"/>
      <c r="U182" s="2"/>
      <c r="V182" s="2"/>
      <c r="W182" s="2"/>
      <c r="X182" s="2"/>
      <c r="Y182" s="2"/>
      <c r="Z182" s="2"/>
      <c r="AA182" s="2"/>
      <c r="AB182">
        <v>0.22739999999999999</v>
      </c>
    </row>
    <row r="183" spans="1:59">
      <c r="A183" s="2" t="s">
        <v>359</v>
      </c>
      <c r="B183" s="2" t="s">
        <v>360</v>
      </c>
      <c r="C183" s="15" t="s">
        <v>66</v>
      </c>
      <c r="D183" s="2" t="s">
        <v>70</v>
      </c>
      <c r="E183" s="2" t="s">
        <v>361</v>
      </c>
      <c r="F183" s="2">
        <v>152</v>
      </c>
      <c r="G183" s="12">
        <v>11783085</v>
      </c>
      <c r="H183" s="12">
        <v>5852473</v>
      </c>
      <c r="I183" s="2">
        <v>3.3000000000000002E-2</v>
      </c>
      <c r="J183" s="2">
        <v>7.5499999999999998E-2</v>
      </c>
      <c r="K183" s="11">
        <v>0.03</v>
      </c>
      <c r="L183" s="12">
        <v>1842555</v>
      </c>
      <c r="M183" s="2">
        <v>28596</v>
      </c>
      <c r="N183" s="3">
        <v>1785</v>
      </c>
      <c r="O183" s="2">
        <v>36767</v>
      </c>
      <c r="P183" s="2">
        <v>64.433999999999997</v>
      </c>
      <c r="Q183" s="2">
        <v>22.309000000000001</v>
      </c>
      <c r="R183" s="2">
        <v>0.37459999999999999</v>
      </c>
      <c r="S183" s="2">
        <v>0.64710000000000001</v>
      </c>
      <c r="T183" s="2"/>
      <c r="U183" s="2"/>
      <c r="V183" s="2"/>
      <c r="W183" s="2"/>
      <c r="X183" s="2"/>
      <c r="Y183" s="2"/>
      <c r="Z183" s="2"/>
      <c r="AA183" s="2"/>
      <c r="AB183">
        <v>0.1026</v>
      </c>
    </row>
    <row r="184" spans="1:59" hidden="1">
      <c r="A184" s="2" t="s">
        <v>359</v>
      </c>
      <c r="B184" t="s">
        <v>360</v>
      </c>
      <c r="C184" s="16" t="s">
        <v>61</v>
      </c>
      <c r="D184" t="s">
        <v>70</v>
      </c>
      <c r="E184" s="2" t="s">
        <v>362</v>
      </c>
      <c r="F184">
        <v>152</v>
      </c>
      <c r="G184">
        <v>11152098</v>
      </c>
      <c r="H184">
        <v>5397433.6210000003</v>
      </c>
      <c r="I184">
        <v>3.3000000000000002E-2</v>
      </c>
      <c r="J184">
        <v>7.5999999999999998E-2</v>
      </c>
      <c r="K184" s="11">
        <v>0.03</v>
      </c>
      <c r="L184">
        <v>1802304</v>
      </c>
      <c r="M184">
        <v>28845</v>
      </c>
      <c r="O184">
        <v>36656</v>
      </c>
      <c r="P184">
        <v>62.59</v>
      </c>
      <c r="Q184">
        <v>21.951000000000001</v>
      </c>
      <c r="R184">
        <v>0.37780000000000002</v>
      </c>
      <c r="S184" s="2">
        <v>0.64710000000000001</v>
      </c>
      <c r="AB184">
        <v>0.1009</v>
      </c>
    </row>
    <row r="185" spans="1:59" hidden="1">
      <c r="A185" s="2" t="s">
        <v>359</v>
      </c>
      <c r="B185" s="2" t="s">
        <v>360</v>
      </c>
      <c r="C185" s="16" t="s">
        <v>64</v>
      </c>
      <c r="D185" s="2" t="s">
        <v>70</v>
      </c>
      <c r="E185" s="2" t="s">
        <v>363</v>
      </c>
      <c r="F185" s="2">
        <v>152</v>
      </c>
      <c r="G185" s="2">
        <v>12038051</v>
      </c>
      <c r="H185" s="2">
        <v>6242696</v>
      </c>
      <c r="I185" s="2">
        <v>3.3000000000000002E-2</v>
      </c>
      <c r="J185" s="2">
        <v>7.5499999999999998E-2</v>
      </c>
      <c r="K185" s="11">
        <v>0.03</v>
      </c>
      <c r="L185" s="2">
        <v>1921217</v>
      </c>
      <c r="M185" s="2">
        <v>28892</v>
      </c>
      <c r="N185" s="2">
        <v>1872</v>
      </c>
      <c r="O185" s="2">
        <v>36195</v>
      </c>
      <c r="P185" s="2">
        <v>66.497</v>
      </c>
      <c r="Q185" s="2">
        <v>22.835000000000001</v>
      </c>
      <c r="R185" s="2">
        <v>0.36649999999999999</v>
      </c>
      <c r="S185" s="2">
        <v>0.64710000000000001</v>
      </c>
      <c r="AB185">
        <v>0.1023</v>
      </c>
    </row>
    <row r="186" spans="1:59" hidden="1">
      <c r="A186" t="s">
        <v>364</v>
      </c>
      <c r="B186" t="s">
        <v>365</v>
      </c>
      <c r="C186" s="16" t="s">
        <v>61</v>
      </c>
      <c r="D186" t="s">
        <v>70</v>
      </c>
      <c r="E186" s="2" t="s">
        <v>366</v>
      </c>
      <c r="F186">
        <v>94</v>
      </c>
      <c r="G186">
        <v>4226045.8109999998</v>
      </c>
      <c r="H186">
        <v>2562847.0079999999</v>
      </c>
      <c r="I186">
        <v>2.5000000000000001E-2</v>
      </c>
      <c r="J186">
        <v>7.2499999999999995E-2</v>
      </c>
      <c r="K186" s="11">
        <v>0.03</v>
      </c>
      <c r="L186">
        <v>527160.82400000002</v>
      </c>
      <c r="M186">
        <v>7977</v>
      </c>
      <c r="O186">
        <v>7138</v>
      </c>
      <c r="P186">
        <v>66.084999999999994</v>
      </c>
      <c r="Q186">
        <v>31.920999999999999</v>
      </c>
      <c r="R186">
        <v>0.33510000000000001</v>
      </c>
      <c r="S186">
        <v>0.56999999999999995</v>
      </c>
      <c r="AB186">
        <v>0.14560000000000001</v>
      </c>
    </row>
    <row r="187" spans="1:59" hidden="1">
      <c r="A187" s="2" t="s">
        <v>364</v>
      </c>
      <c r="B187" s="2" t="s">
        <v>365</v>
      </c>
      <c r="C187" s="16" t="s">
        <v>64</v>
      </c>
      <c r="D187" s="2" t="s">
        <v>70</v>
      </c>
      <c r="E187" s="2" t="s">
        <v>367</v>
      </c>
      <c r="F187" s="2">
        <v>94</v>
      </c>
      <c r="G187" s="2">
        <v>4414114</v>
      </c>
      <c r="H187" s="2">
        <v>2811163</v>
      </c>
      <c r="I187" s="2">
        <v>2.3E-2</v>
      </c>
      <c r="J187" s="11">
        <v>7.0000000000000007E-2</v>
      </c>
      <c r="K187" s="11">
        <v>0.03</v>
      </c>
      <c r="L187" s="2">
        <v>568646</v>
      </c>
      <c r="M187" s="2">
        <v>8027</v>
      </c>
      <c r="N187" s="2">
        <v>929</v>
      </c>
      <c r="O187" s="2">
        <v>7502</v>
      </c>
      <c r="P187" s="2">
        <v>70.841999999999999</v>
      </c>
      <c r="Q187" s="2">
        <v>32.302999999999997</v>
      </c>
      <c r="R187" s="2">
        <v>0.32600000000000001</v>
      </c>
      <c r="S187">
        <v>0.56999999999999995</v>
      </c>
      <c r="AB187">
        <v>0.1384</v>
      </c>
    </row>
    <row r="188" spans="1:59">
      <c r="A188" s="2" t="s">
        <v>364</v>
      </c>
      <c r="B188" s="2" t="s">
        <v>365</v>
      </c>
      <c r="C188" s="15" t="s">
        <v>66</v>
      </c>
      <c r="D188" s="2" t="s">
        <v>70</v>
      </c>
      <c r="E188" s="2" t="s">
        <v>368</v>
      </c>
      <c r="F188" s="2">
        <v>94</v>
      </c>
      <c r="G188" s="2">
        <v>4401825</v>
      </c>
      <c r="H188" s="2">
        <v>2677353</v>
      </c>
      <c r="I188" s="2">
        <v>2.5000000000000001E-2</v>
      </c>
      <c r="J188" s="2">
        <v>7.2499999999999995E-2</v>
      </c>
      <c r="K188" s="11">
        <v>0.03</v>
      </c>
      <c r="L188" s="2">
        <v>562989</v>
      </c>
      <c r="M188" s="2">
        <v>7941</v>
      </c>
      <c r="N188" s="3">
        <v>965</v>
      </c>
      <c r="O188" s="2">
        <v>7368</v>
      </c>
      <c r="P188" s="2">
        <v>70.896000000000001</v>
      </c>
      <c r="Q188" s="2">
        <v>32.122</v>
      </c>
      <c r="R188" s="2">
        <v>0.3362</v>
      </c>
      <c r="S188">
        <v>0.56999999999999995</v>
      </c>
      <c r="T188" s="2"/>
      <c r="U188" s="2"/>
      <c r="V188" s="2"/>
      <c r="W188" s="2"/>
      <c r="X188" s="2"/>
      <c r="Y188" s="2"/>
      <c r="Z188" s="2"/>
      <c r="AA188" s="2"/>
      <c r="AB188">
        <v>0.1444</v>
      </c>
      <c r="AC188" s="2">
        <v>6.2E-2</v>
      </c>
      <c r="AD188" s="2">
        <v>8.2000000000000003E-2</v>
      </c>
      <c r="AE188" s="2">
        <v>5.3999999999999999E-2</v>
      </c>
      <c r="AF188" s="2">
        <v>8.5110000000000005E-2</v>
      </c>
      <c r="AG188" s="2">
        <v>4.3819999999999998E-2</v>
      </c>
      <c r="AH188" s="2">
        <v>7.8390000000000001E-2</v>
      </c>
      <c r="AI188" s="2">
        <v>0.17</v>
      </c>
      <c r="AJ188" s="2">
        <v>2.215E-2</v>
      </c>
      <c r="AK188" s="2"/>
      <c r="AL188" s="2">
        <v>0.09</v>
      </c>
      <c r="AM188" s="2"/>
      <c r="AN188" s="2">
        <v>2.1000000000000001E-2</v>
      </c>
      <c r="AO188" s="2"/>
      <c r="AP188" s="2">
        <v>0.36299999999999999</v>
      </c>
      <c r="AQ188" s="2">
        <v>0.32600000000000001</v>
      </c>
      <c r="AR188" s="2">
        <v>5.7000000000000002E-2</v>
      </c>
      <c r="AS188" s="2">
        <v>0.106</v>
      </c>
      <c r="AT188" s="2">
        <v>0</v>
      </c>
      <c r="AU188" s="2">
        <v>0.13400000000000001</v>
      </c>
      <c r="AV188" s="2">
        <v>0</v>
      </c>
      <c r="AW188" s="2">
        <v>1.2999999999999999E-2</v>
      </c>
      <c r="AX188" s="2">
        <v>0</v>
      </c>
      <c r="AY188" s="2">
        <v>0.33</v>
      </c>
      <c r="AZ188" s="2">
        <v>0.33</v>
      </c>
      <c r="BA188" s="2">
        <v>0.09</v>
      </c>
      <c r="BB188" s="2">
        <v>0.05</v>
      </c>
      <c r="BC188" s="2">
        <v>0</v>
      </c>
      <c r="BD188" s="2">
        <v>0.2</v>
      </c>
      <c r="BE188" s="2">
        <v>0</v>
      </c>
      <c r="BF188" s="2">
        <v>0</v>
      </c>
      <c r="BG188" s="2">
        <v>0</v>
      </c>
    </row>
    <row r="189" spans="1:59" hidden="1">
      <c r="A189" t="s">
        <v>369</v>
      </c>
      <c r="B189" s="2" t="s">
        <v>370</v>
      </c>
      <c r="C189" s="16" t="s">
        <v>61</v>
      </c>
      <c r="D189" t="s">
        <v>75</v>
      </c>
      <c r="E189" t="s">
        <v>317</v>
      </c>
      <c r="F189" s="2">
        <v>75</v>
      </c>
      <c r="G189" s="2">
        <v>445271.1</v>
      </c>
      <c r="H189" s="2">
        <v>241394</v>
      </c>
      <c r="I189" s="11"/>
      <c r="J189" s="4"/>
      <c r="K189" s="11">
        <v>0.03</v>
      </c>
      <c r="L189" s="2">
        <v>204883.1</v>
      </c>
      <c r="M189" s="2">
        <v>670</v>
      </c>
      <c r="N189" s="11"/>
      <c r="O189" s="2">
        <v>1099</v>
      </c>
      <c r="P189" s="11"/>
      <c r="Q189" s="11"/>
      <c r="R189" s="2">
        <v>0.75724499999999995</v>
      </c>
      <c r="AB189" s="2">
        <v>0.15705</v>
      </c>
    </row>
    <row r="190" spans="1:59" hidden="1">
      <c r="A190" s="2" t="s">
        <v>369</v>
      </c>
      <c r="B190" t="s">
        <v>371</v>
      </c>
      <c r="C190" s="16" t="s">
        <v>61</v>
      </c>
      <c r="D190" t="s">
        <v>70</v>
      </c>
      <c r="E190" s="2" t="s">
        <v>372</v>
      </c>
      <c r="F190">
        <v>196</v>
      </c>
      <c r="G190">
        <v>388411.89399999997</v>
      </c>
      <c r="H190">
        <v>240346.84</v>
      </c>
      <c r="I190">
        <v>2.75E-2</v>
      </c>
      <c r="J190">
        <v>7.2499999999999995E-2</v>
      </c>
      <c r="K190" s="11">
        <v>0.03</v>
      </c>
      <c r="L190">
        <v>83458.398000000001</v>
      </c>
      <c r="M190">
        <v>1767</v>
      </c>
      <c r="O190">
        <v>1691</v>
      </c>
      <c r="P190">
        <v>47.231999999999999</v>
      </c>
      <c r="Q190">
        <v>16.172999999999998</v>
      </c>
      <c r="R190">
        <v>0.18037</v>
      </c>
      <c r="AB190">
        <v>0.12692999999999999</v>
      </c>
    </row>
    <row r="191" spans="1:59" hidden="1">
      <c r="A191" s="2" t="s">
        <v>369</v>
      </c>
      <c r="B191" s="2" t="s">
        <v>371</v>
      </c>
      <c r="C191" s="16" t="s">
        <v>64</v>
      </c>
      <c r="D191" s="2" t="s">
        <v>70</v>
      </c>
      <c r="E191" s="2" t="s">
        <v>373</v>
      </c>
      <c r="F191" s="2">
        <v>196</v>
      </c>
      <c r="G191" s="11"/>
      <c r="H191" s="11"/>
      <c r="I191" s="11">
        <v>2.5000000000000001E-2</v>
      </c>
      <c r="J191" s="11">
        <v>7.0000000000000007E-2</v>
      </c>
      <c r="K191" s="11">
        <v>0.03</v>
      </c>
      <c r="L191" s="11"/>
      <c r="M191" s="11"/>
      <c r="N191" s="2">
        <v>1033</v>
      </c>
      <c r="O191" s="11"/>
      <c r="P191" s="11"/>
      <c r="Q191" s="11"/>
      <c r="R191" s="11"/>
    </row>
    <row r="192" spans="1:59">
      <c r="A192" s="2" t="s">
        <v>369</v>
      </c>
      <c r="B192" s="2" t="s">
        <v>371</v>
      </c>
      <c r="C192" s="15" t="s">
        <v>66</v>
      </c>
      <c r="D192" s="2" t="s">
        <v>70</v>
      </c>
      <c r="E192" s="2" t="s">
        <v>374</v>
      </c>
      <c r="F192" s="2">
        <v>196</v>
      </c>
      <c r="G192" s="11"/>
      <c r="H192" s="11"/>
      <c r="I192" s="11">
        <v>2.5000000000000001E-2</v>
      </c>
      <c r="J192" s="11">
        <v>7.0000000000000007E-2</v>
      </c>
      <c r="K192" s="11">
        <v>0.03</v>
      </c>
      <c r="L192" s="11"/>
      <c r="M192" s="11"/>
      <c r="N192" s="3">
        <v>0</v>
      </c>
      <c r="O192" s="11"/>
      <c r="P192" s="11"/>
      <c r="Q192" s="11"/>
      <c r="R192" s="11"/>
      <c r="S192" s="2"/>
      <c r="T192" s="2"/>
      <c r="U192" s="2"/>
      <c r="V192" s="2"/>
      <c r="W192" s="2"/>
      <c r="X192" s="2"/>
      <c r="Y192" s="2"/>
      <c r="Z192" s="2"/>
      <c r="AA192" s="2"/>
    </row>
    <row r="193" spans="1:28" hidden="1">
      <c r="A193" s="2" t="s">
        <v>369</v>
      </c>
      <c r="B193" t="s">
        <v>375</v>
      </c>
      <c r="C193" s="16" t="s">
        <v>61</v>
      </c>
      <c r="D193" s="2" t="s">
        <v>80</v>
      </c>
      <c r="E193" s="2" t="s">
        <v>376</v>
      </c>
      <c r="F193">
        <v>183</v>
      </c>
      <c r="G193">
        <v>482008.62400000001</v>
      </c>
      <c r="H193">
        <v>265925.50300000003</v>
      </c>
      <c r="I193">
        <v>2.75E-2</v>
      </c>
      <c r="K193" s="11">
        <v>0.03</v>
      </c>
      <c r="L193">
        <v>62499</v>
      </c>
      <c r="M193">
        <v>955</v>
      </c>
      <c r="O193">
        <v>1466</v>
      </c>
      <c r="P193">
        <v>62.499000000000002</v>
      </c>
      <c r="Q193">
        <v>23.567</v>
      </c>
      <c r="R193">
        <v>0.22389999999999999</v>
      </c>
      <c r="AB193">
        <v>0.18074999999999999</v>
      </c>
    </row>
    <row r="194" spans="1:28" hidden="1">
      <c r="A194" s="2" t="s">
        <v>369</v>
      </c>
      <c r="B194" s="2" t="s">
        <v>375</v>
      </c>
      <c r="C194" s="16" t="s">
        <v>64</v>
      </c>
      <c r="D194" s="2" t="s">
        <v>80</v>
      </c>
      <c r="E194" s="2" t="s">
        <v>377</v>
      </c>
      <c r="F194" s="2">
        <v>183</v>
      </c>
      <c r="G194" s="11"/>
      <c r="H194" s="11"/>
      <c r="I194" s="2">
        <v>2.75E-2</v>
      </c>
      <c r="J194" s="11">
        <v>7.0000000000000007E-2</v>
      </c>
      <c r="K194" s="11">
        <v>0.03</v>
      </c>
      <c r="L194" s="11"/>
      <c r="M194" s="11"/>
      <c r="N194" s="2">
        <v>0</v>
      </c>
      <c r="O194" s="11"/>
      <c r="P194" s="11"/>
      <c r="Q194" s="11"/>
      <c r="R194" s="11"/>
    </row>
    <row r="195" spans="1:28">
      <c r="A195" s="2" t="s">
        <v>369</v>
      </c>
      <c r="B195" s="2" t="s">
        <v>375</v>
      </c>
      <c r="C195" s="15" t="s">
        <v>66</v>
      </c>
      <c r="D195" s="2" t="s">
        <v>80</v>
      </c>
      <c r="E195" s="2" t="s">
        <v>378</v>
      </c>
      <c r="F195" s="2">
        <v>183</v>
      </c>
      <c r="G195" s="11"/>
      <c r="H195" s="11"/>
      <c r="I195" s="11">
        <v>2.5000000000000001E-2</v>
      </c>
      <c r="J195" s="11">
        <v>7.0000000000000007E-2</v>
      </c>
      <c r="K195" s="11">
        <v>0.03</v>
      </c>
      <c r="L195" s="11"/>
      <c r="M195" s="11"/>
      <c r="N195" s="3">
        <v>1008</v>
      </c>
      <c r="O195" s="11"/>
      <c r="P195" s="11"/>
      <c r="Q195" s="11"/>
      <c r="R195" s="11"/>
      <c r="S195" s="2"/>
      <c r="T195" s="2"/>
      <c r="U195" s="2"/>
      <c r="V195" s="2"/>
      <c r="W195" s="2"/>
      <c r="X195" s="2"/>
      <c r="Y195" s="2"/>
      <c r="Z195" s="2"/>
      <c r="AA195" s="2"/>
    </row>
    <row r="196" spans="1:28" hidden="1">
      <c r="A196" t="s">
        <v>379</v>
      </c>
      <c r="B196" t="s">
        <v>380</v>
      </c>
      <c r="C196" s="16" t="s">
        <v>61</v>
      </c>
      <c r="D196" t="s">
        <v>70</v>
      </c>
      <c r="E196" s="2" t="s">
        <v>381</v>
      </c>
      <c r="F196">
        <v>169</v>
      </c>
      <c r="G196">
        <v>1378187.3640000001</v>
      </c>
      <c r="H196">
        <v>367599.364</v>
      </c>
      <c r="I196">
        <v>3.5000000000000003E-2</v>
      </c>
      <c r="J196">
        <v>0.08</v>
      </c>
      <c r="K196" s="11">
        <v>0.03</v>
      </c>
      <c r="L196">
        <v>149921.633</v>
      </c>
      <c r="M196">
        <v>2993</v>
      </c>
      <c r="O196">
        <v>3220</v>
      </c>
      <c r="P196">
        <v>50.091000000000001</v>
      </c>
      <c r="Q196">
        <v>29.35</v>
      </c>
      <c r="R196">
        <v>0.47786000000000001</v>
      </c>
      <c r="AB196">
        <v>0.13109999999999999</v>
      </c>
    </row>
    <row r="197" spans="1:28" hidden="1">
      <c r="A197" s="2" t="s">
        <v>379</v>
      </c>
      <c r="B197" s="2" t="s">
        <v>380</v>
      </c>
      <c r="C197" s="16" t="s">
        <v>64</v>
      </c>
      <c r="D197" s="2" t="s">
        <v>70</v>
      </c>
      <c r="E197" s="2" t="s">
        <v>382</v>
      </c>
      <c r="F197" s="2">
        <v>169</v>
      </c>
      <c r="G197" s="2">
        <v>1593646</v>
      </c>
      <c r="H197" s="2">
        <v>380468.5</v>
      </c>
      <c r="I197" s="2">
        <v>0.03</v>
      </c>
      <c r="J197" s="2">
        <v>7.0000000000000007E-2</v>
      </c>
      <c r="K197" s="11">
        <v>0.03</v>
      </c>
      <c r="L197" s="2">
        <v>159505</v>
      </c>
      <c r="M197" s="2">
        <v>3017</v>
      </c>
      <c r="N197" s="2">
        <v>0</v>
      </c>
      <c r="O197" s="2">
        <v>3255</v>
      </c>
      <c r="P197" s="2">
        <v>51.308999999999997</v>
      </c>
      <c r="Q197" s="2">
        <v>29.344000000000001</v>
      </c>
      <c r="R197" s="2">
        <v>0.48768</v>
      </c>
      <c r="AB197">
        <v>0.15060000000000001</v>
      </c>
    </row>
    <row r="198" spans="1:28">
      <c r="A198" s="2" t="s">
        <v>379</v>
      </c>
      <c r="B198" s="2" t="s">
        <v>380</v>
      </c>
      <c r="C198" s="15" t="s">
        <v>66</v>
      </c>
      <c r="D198" s="2" t="s">
        <v>70</v>
      </c>
      <c r="E198" s="2" t="s">
        <v>383</v>
      </c>
      <c r="F198" s="2">
        <v>169</v>
      </c>
      <c r="G198" s="2">
        <v>1593646</v>
      </c>
      <c r="H198" s="2">
        <v>380468.5</v>
      </c>
      <c r="I198" s="2">
        <v>0.03</v>
      </c>
      <c r="J198" s="2">
        <v>0.08</v>
      </c>
      <c r="K198" s="11">
        <v>0.03</v>
      </c>
      <c r="L198" s="2">
        <v>154798.79999999999</v>
      </c>
      <c r="M198" s="2">
        <v>3017</v>
      </c>
      <c r="N198" s="3">
        <v>0</v>
      </c>
      <c r="O198" s="2">
        <v>3255</v>
      </c>
      <c r="P198" s="2">
        <v>51.308999999999997</v>
      </c>
      <c r="Q198" s="2">
        <v>29.344000000000001</v>
      </c>
      <c r="R198" s="2">
        <v>0.48768</v>
      </c>
      <c r="S198" s="2"/>
      <c r="T198" s="2"/>
      <c r="U198" s="2"/>
      <c r="V198" s="2"/>
      <c r="W198" s="2"/>
      <c r="X198" s="2"/>
      <c r="Y198" s="2"/>
      <c r="Z198" s="2"/>
      <c r="AA198" s="2"/>
      <c r="AB198">
        <v>0.15060000000000001</v>
      </c>
    </row>
    <row r="199" spans="1:28" hidden="1">
      <c r="A199" t="s">
        <v>384</v>
      </c>
      <c r="B199" s="2" t="s">
        <v>385</v>
      </c>
      <c r="C199" s="16" t="s">
        <v>61</v>
      </c>
      <c r="D199" t="s">
        <v>62</v>
      </c>
      <c r="E199" t="s">
        <v>386</v>
      </c>
      <c r="F199" s="2" t="s">
        <v>387</v>
      </c>
      <c r="G199" s="2">
        <v>3749251</v>
      </c>
      <c r="H199" s="2">
        <v>3297011</v>
      </c>
      <c r="I199" s="2">
        <v>0.03</v>
      </c>
      <c r="J199" s="4"/>
      <c r="K199" s="11">
        <v>0.03</v>
      </c>
      <c r="L199" s="2">
        <v>335065.90000000002</v>
      </c>
      <c r="M199" s="2">
        <v>4042</v>
      </c>
      <c r="N199" s="2">
        <v>1</v>
      </c>
      <c r="O199" s="2">
        <v>2779</v>
      </c>
      <c r="P199" s="2">
        <v>41.9</v>
      </c>
      <c r="Q199" s="2">
        <v>68.099999999999994</v>
      </c>
      <c r="R199" s="2">
        <v>0.23372200000000001</v>
      </c>
      <c r="AB199" s="2">
        <v>0.2442</v>
      </c>
    </row>
    <row r="200" spans="1:28">
      <c r="A200" s="2" t="s">
        <v>388</v>
      </c>
      <c r="B200" s="2" t="s">
        <v>389</v>
      </c>
      <c r="C200" s="15" t="s">
        <v>66</v>
      </c>
      <c r="D200" s="2" t="s">
        <v>70</v>
      </c>
      <c r="E200" s="2" t="s">
        <v>390</v>
      </c>
      <c r="F200" s="2">
        <v>144</v>
      </c>
      <c r="G200" s="2">
        <v>10602166</v>
      </c>
      <c r="H200" s="2">
        <v>7595073</v>
      </c>
      <c r="I200" s="2">
        <v>3.0499999999999999E-2</v>
      </c>
      <c r="J200" s="2">
        <v>6.5000000000000002E-2</v>
      </c>
      <c r="K200" s="11">
        <v>0.03</v>
      </c>
      <c r="L200" s="2">
        <v>484764.5</v>
      </c>
      <c r="M200" s="2">
        <v>5757</v>
      </c>
      <c r="N200" s="3">
        <v>500</v>
      </c>
      <c r="O200" s="2">
        <v>10205</v>
      </c>
      <c r="P200" s="2">
        <v>84.203999999999994</v>
      </c>
      <c r="Q200" s="2">
        <v>50.119</v>
      </c>
      <c r="R200" s="2">
        <v>0.8054</v>
      </c>
      <c r="S200" s="2">
        <v>0.66</v>
      </c>
      <c r="T200" s="2"/>
      <c r="U200" s="2"/>
      <c r="V200" s="2"/>
      <c r="W200" s="2"/>
      <c r="X200" s="2"/>
      <c r="Y200" s="2"/>
      <c r="Z200" s="2"/>
      <c r="AA200" s="2"/>
      <c r="AB200">
        <v>0.2762</v>
      </c>
    </row>
    <row r="201" spans="1:28" hidden="1">
      <c r="A201" s="2" t="s">
        <v>388</v>
      </c>
      <c r="B201" t="s">
        <v>389</v>
      </c>
      <c r="C201" s="16" t="s">
        <v>61</v>
      </c>
      <c r="D201" t="s">
        <v>70</v>
      </c>
      <c r="E201" s="2" t="s">
        <v>391</v>
      </c>
      <c r="F201">
        <v>144</v>
      </c>
      <c r="G201">
        <v>10192808.460999999</v>
      </c>
      <c r="H201">
        <v>7214925.0109999999</v>
      </c>
      <c r="I201">
        <v>3.0499999999999999E-2</v>
      </c>
      <c r="J201">
        <v>6.5000000000000002E-2</v>
      </c>
      <c r="K201" s="11">
        <v>0.03</v>
      </c>
      <c r="L201">
        <v>455753.4</v>
      </c>
      <c r="M201">
        <v>5967</v>
      </c>
      <c r="O201">
        <v>10024</v>
      </c>
      <c r="P201">
        <v>76.379000000000005</v>
      </c>
      <c r="Q201">
        <v>49.262</v>
      </c>
      <c r="R201">
        <v>0.79420000000000002</v>
      </c>
      <c r="S201" s="2">
        <v>0.66</v>
      </c>
      <c r="AB201">
        <v>0.27400000000000002</v>
      </c>
    </row>
    <row r="202" spans="1:28" hidden="1">
      <c r="A202" s="2" t="s">
        <v>388</v>
      </c>
      <c r="B202" s="2" t="s">
        <v>389</v>
      </c>
      <c r="C202" s="16" t="s">
        <v>64</v>
      </c>
      <c r="D202" s="2" t="s">
        <v>70</v>
      </c>
      <c r="E202" s="2" t="s">
        <v>392</v>
      </c>
      <c r="F202" s="2">
        <v>144</v>
      </c>
      <c r="G202" s="2">
        <v>11206326</v>
      </c>
      <c r="H202" s="2">
        <v>7870672</v>
      </c>
      <c r="I202" s="2">
        <v>3.0499999999999999E-2</v>
      </c>
      <c r="J202" s="2">
        <v>6.5000000000000002E-2</v>
      </c>
      <c r="K202" s="11">
        <v>0.03</v>
      </c>
      <c r="L202" s="2">
        <v>501203.7</v>
      </c>
      <c r="M202" s="2">
        <v>5535</v>
      </c>
      <c r="N202" s="2">
        <v>500</v>
      </c>
      <c r="O202" s="2">
        <v>10409</v>
      </c>
      <c r="P202" s="2">
        <v>90.552000000000007</v>
      </c>
      <c r="Q202" s="2">
        <v>51.09</v>
      </c>
      <c r="R202" s="2">
        <v>0.87980000000000003</v>
      </c>
      <c r="S202" s="2">
        <v>0.66</v>
      </c>
      <c r="AB202">
        <v>0.30819999999999997</v>
      </c>
    </row>
    <row r="203" spans="1:28">
      <c r="A203" s="2" t="s">
        <v>393</v>
      </c>
      <c r="B203" s="2" t="s">
        <v>394</v>
      </c>
      <c r="C203" s="15" t="s">
        <v>66</v>
      </c>
      <c r="D203" s="2" t="s">
        <v>70</v>
      </c>
      <c r="E203" s="2" t="s">
        <v>395</v>
      </c>
      <c r="F203" s="2">
        <v>98</v>
      </c>
      <c r="G203" s="2">
        <v>28798581</v>
      </c>
      <c r="H203" s="2">
        <v>25247549</v>
      </c>
      <c r="I203" s="2">
        <v>2.75E-2</v>
      </c>
      <c r="J203" s="2">
        <v>7.3999999999999996E-2</v>
      </c>
      <c r="K203" s="11">
        <v>0.03</v>
      </c>
      <c r="L203" s="2">
        <v>3549936</v>
      </c>
      <c r="M203" s="2">
        <v>34202</v>
      </c>
      <c r="N203" s="3">
        <v>2905</v>
      </c>
      <c r="O203" s="2">
        <v>30778</v>
      </c>
      <c r="P203" s="2">
        <v>98.787000000000006</v>
      </c>
      <c r="Q203" s="2">
        <v>49.173000000000002</v>
      </c>
      <c r="R203" s="2">
        <v>0.26900000000000002</v>
      </c>
      <c r="S203" s="2">
        <v>0.56010000000000004</v>
      </c>
      <c r="T203" s="2"/>
      <c r="U203" s="2"/>
      <c r="V203" s="2"/>
      <c r="W203" s="2"/>
      <c r="X203" s="2"/>
      <c r="Y203" s="2"/>
      <c r="Z203" s="2"/>
      <c r="AA203" s="2"/>
      <c r="AB203">
        <v>0.1772</v>
      </c>
    </row>
    <row r="204" spans="1:28" hidden="1">
      <c r="A204" t="s">
        <v>393</v>
      </c>
      <c r="B204" t="s">
        <v>394</v>
      </c>
      <c r="C204" s="16" t="s">
        <v>61</v>
      </c>
      <c r="D204" t="s">
        <v>70</v>
      </c>
      <c r="E204" s="2" t="s">
        <v>396</v>
      </c>
      <c r="F204">
        <v>98</v>
      </c>
      <c r="G204">
        <v>27335417</v>
      </c>
      <c r="H204">
        <v>23866027</v>
      </c>
      <c r="I204">
        <v>0.03</v>
      </c>
      <c r="J204">
        <v>7.3999999999999996E-2</v>
      </c>
      <c r="K204" s="11">
        <v>0.03</v>
      </c>
      <c r="L204">
        <v>3385517</v>
      </c>
      <c r="M204">
        <v>33946</v>
      </c>
      <c r="O204">
        <v>29965</v>
      </c>
      <c r="P204">
        <v>95.326999999999998</v>
      </c>
      <c r="Q204">
        <v>47.533000000000001</v>
      </c>
      <c r="R204">
        <v>0.25190000000000001</v>
      </c>
      <c r="S204" s="2">
        <v>0.56010000000000004</v>
      </c>
      <c r="AB204">
        <v>0.17710000000000001</v>
      </c>
    </row>
    <row r="205" spans="1:28" hidden="1">
      <c r="A205" s="2" t="s">
        <v>393</v>
      </c>
      <c r="B205" s="2" t="s">
        <v>394</v>
      </c>
      <c r="C205" s="16" t="s">
        <v>64</v>
      </c>
      <c r="D205" s="2" t="s">
        <v>70</v>
      </c>
      <c r="E205" s="2" t="s">
        <v>397</v>
      </c>
      <c r="F205" s="2">
        <v>98</v>
      </c>
      <c r="G205" s="2">
        <v>29499918</v>
      </c>
      <c r="H205" s="2">
        <v>26695845</v>
      </c>
      <c r="I205" s="2">
        <v>2.5000000000000001E-2</v>
      </c>
      <c r="J205" s="2">
        <v>7.3999999999999996E-2</v>
      </c>
      <c r="K205" s="11">
        <v>0.03</v>
      </c>
      <c r="L205" s="2">
        <v>3703103</v>
      </c>
      <c r="M205" s="2">
        <v>34521</v>
      </c>
      <c r="N205" s="2">
        <v>2898</v>
      </c>
      <c r="O205" s="2">
        <v>30128</v>
      </c>
      <c r="P205" s="2">
        <v>103.8</v>
      </c>
      <c r="Q205" s="2">
        <v>52.707999999999998</v>
      </c>
      <c r="R205" s="2">
        <v>0.24410000000000001</v>
      </c>
      <c r="S205" s="2">
        <v>0.56010000000000004</v>
      </c>
      <c r="AB205">
        <v>0.1729</v>
      </c>
    </row>
    <row r="206" spans="1:28" hidden="1">
      <c r="A206" t="s">
        <v>398</v>
      </c>
      <c r="B206" s="2" t="s">
        <v>399</v>
      </c>
      <c r="C206" s="16" t="s">
        <v>61</v>
      </c>
      <c r="D206" t="s">
        <v>62</v>
      </c>
      <c r="E206" t="s">
        <v>400</v>
      </c>
      <c r="F206" s="2">
        <v>56</v>
      </c>
      <c r="G206" s="2">
        <v>4696428</v>
      </c>
      <c r="H206" s="2">
        <v>3596590</v>
      </c>
      <c r="I206" s="2">
        <v>2.75E-2</v>
      </c>
      <c r="J206" s="4"/>
      <c r="K206" s="11">
        <v>0.03</v>
      </c>
      <c r="L206" s="2">
        <v>218429</v>
      </c>
      <c r="M206" s="2">
        <v>1638</v>
      </c>
      <c r="N206" s="2">
        <v>324</v>
      </c>
      <c r="O206" s="2">
        <v>2250</v>
      </c>
      <c r="P206" s="2">
        <v>42</v>
      </c>
      <c r="Q206" s="2">
        <v>66.599999999999994</v>
      </c>
      <c r="R206" s="2">
        <v>0.43874999999999997</v>
      </c>
      <c r="AB206" s="2">
        <v>0.253025</v>
      </c>
    </row>
    <row r="207" spans="1:28">
      <c r="A207" s="2" t="s">
        <v>401</v>
      </c>
      <c r="B207" s="2" t="s">
        <v>402</v>
      </c>
      <c r="C207" s="15" t="s">
        <v>66</v>
      </c>
      <c r="D207" s="2" t="s">
        <v>70</v>
      </c>
      <c r="E207" s="2" t="s">
        <v>403</v>
      </c>
      <c r="F207" s="2">
        <v>156</v>
      </c>
      <c r="G207" s="2">
        <v>4411100</v>
      </c>
      <c r="H207" s="2">
        <v>3040700</v>
      </c>
      <c r="I207" s="2">
        <v>2.75E-2</v>
      </c>
      <c r="J207" s="2">
        <v>7.2499999999999995E-2</v>
      </c>
      <c r="K207" s="11">
        <v>0.03</v>
      </c>
      <c r="L207" s="2">
        <v>785600</v>
      </c>
      <c r="M207" s="2">
        <v>9440</v>
      </c>
      <c r="N207" s="3">
        <v>9955</v>
      </c>
      <c r="O207" s="2">
        <v>7029</v>
      </c>
      <c r="P207" s="2">
        <v>86.832999999999998</v>
      </c>
      <c r="Q207" s="2">
        <v>30.472999999999999</v>
      </c>
      <c r="R207" s="2">
        <v>0.161</v>
      </c>
      <c r="S207" s="2">
        <v>0.64</v>
      </c>
      <c r="T207" s="2"/>
      <c r="U207" s="2"/>
      <c r="V207" s="2"/>
      <c r="W207" s="2"/>
      <c r="X207" s="2"/>
      <c r="Y207" s="2"/>
      <c r="Z207" s="2"/>
      <c r="AA207" s="2"/>
      <c r="AB207">
        <v>0.1525</v>
      </c>
    </row>
    <row r="208" spans="1:28" hidden="1">
      <c r="A208" s="2" t="s">
        <v>401</v>
      </c>
      <c r="B208" t="s">
        <v>402</v>
      </c>
      <c r="C208" s="16" t="s">
        <v>61</v>
      </c>
      <c r="D208" t="s">
        <v>70</v>
      </c>
      <c r="E208" s="2" t="s">
        <v>404</v>
      </c>
      <c r="F208">
        <v>156</v>
      </c>
      <c r="G208">
        <v>4216700</v>
      </c>
      <c r="H208">
        <v>2877400</v>
      </c>
      <c r="I208">
        <v>2.75E-2</v>
      </c>
      <c r="K208" s="11">
        <v>0.03</v>
      </c>
      <c r="L208">
        <v>779100</v>
      </c>
      <c r="M208">
        <v>9388</v>
      </c>
      <c r="O208">
        <v>6792</v>
      </c>
      <c r="P208">
        <v>82.831000000000003</v>
      </c>
      <c r="Q208">
        <v>29.042000000000002</v>
      </c>
      <c r="R208">
        <v>0.16139999999999999</v>
      </c>
      <c r="S208" s="2">
        <v>0.64</v>
      </c>
      <c r="AB208">
        <v>0.1542</v>
      </c>
    </row>
    <row r="209" spans="1:28" hidden="1">
      <c r="A209" s="2" t="s">
        <v>401</v>
      </c>
      <c r="B209" s="2" t="s">
        <v>402</v>
      </c>
      <c r="C209" s="16" t="s">
        <v>64</v>
      </c>
      <c r="D209" s="2" t="s">
        <v>70</v>
      </c>
      <c r="E209" s="2" t="s">
        <v>405</v>
      </c>
      <c r="F209" s="2">
        <v>156</v>
      </c>
      <c r="G209" s="2">
        <v>4673100</v>
      </c>
      <c r="H209" s="2">
        <v>3345800</v>
      </c>
      <c r="I209" s="2">
        <v>2.75E-2</v>
      </c>
      <c r="J209" s="2">
        <v>7.2499999999999995E-2</v>
      </c>
      <c r="K209" s="11">
        <v>0.03</v>
      </c>
      <c r="L209" s="2">
        <v>876900</v>
      </c>
      <c r="M209" s="2">
        <v>9287</v>
      </c>
      <c r="N209" s="2">
        <v>10549</v>
      </c>
      <c r="O209" s="2">
        <v>7123</v>
      </c>
      <c r="P209" s="2">
        <v>94.561999999999998</v>
      </c>
      <c r="Q209" s="2">
        <v>31.257999999999999</v>
      </c>
      <c r="R209" s="2">
        <v>0.15329999999999999</v>
      </c>
      <c r="S209" s="2">
        <v>0.64</v>
      </c>
      <c r="AB209">
        <v>0.151</v>
      </c>
    </row>
    <row r="210" spans="1:28" hidden="1">
      <c r="A210" t="s">
        <v>406</v>
      </c>
      <c r="B210" s="2" t="s">
        <v>407</v>
      </c>
      <c r="C210" s="16" t="s">
        <v>61</v>
      </c>
      <c r="D210" t="s">
        <v>75</v>
      </c>
      <c r="E210" t="s">
        <v>408</v>
      </c>
      <c r="F210" s="2">
        <v>57</v>
      </c>
      <c r="G210" s="2">
        <v>174209.2</v>
      </c>
      <c r="H210" s="2">
        <v>171591.2</v>
      </c>
      <c r="I210" s="2">
        <v>2.75E-2</v>
      </c>
      <c r="J210" s="4"/>
      <c r="K210" s="11">
        <v>0.03</v>
      </c>
      <c r="L210" s="2">
        <v>11710.12</v>
      </c>
      <c r="M210" s="2">
        <v>146</v>
      </c>
      <c r="N210" s="2">
        <v>4</v>
      </c>
      <c r="O210" s="2">
        <v>168</v>
      </c>
      <c r="P210" s="2">
        <v>45</v>
      </c>
      <c r="Q210" s="4"/>
      <c r="R210" s="2">
        <v>0.338667</v>
      </c>
      <c r="AB210" s="2">
        <v>0.29136699999999999</v>
      </c>
    </row>
    <row r="211" spans="1:28" hidden="1">
      <c r="A211" t="s">
        <v>406</v>
      </c>
      <c r="B211" t="s">
        <v>409</v>
      </c>
      <c r="C211" s="16" t="s">
        <v>61</v>
      </c>
      <c r="D211" t="s">
        <v>70</v>
      </c>
      <c r="E211" s="2" t="s">
        <v>410</v>
      </c>
      <c r="F211">
        <v>185</v>
      </c>
      <c r="G211">
        <v>478543.35</v>
      </c>
      <c r="H211">
        <v>485281.49900000001</v>
      </c>
      <c r="I211">
        <v>2.75E-2</v>
      </c>
      <c r="J211">
        <v>7.4999999999999997E-2</v>
      </c>
      <c r="K211" s="11">
        <v>0.03</v>
      </c>
      <c r="L211">
        <v>44453.665999999997</v>
      </c>
      <c r="M211">
        <v>626</v>
      </c>
      <c r="O211">
        <v>674</v>
      </c>
      <c r="P211">
        <v>71.012</v>
      </c>
      <c r="Q211">
        <v>30.692</v>
      </c>
      <c r="R211">
        <v>0.22597999999999999</v>
      </c>
      <c r="AB211">
        <v>0.18306</v>
      </c>
    </row>
    <row r="212" spans="1:28" hidden="1">
      <c r="A212" s="2" t="s">
        <v>406</v>
      </c>
      <c r="B212" s="2" t="s">
        <v>409</v>
      </c>
      <c r="C212" s="16" t="s">
        <v>64</v>
      </c>
      <c r="D212" s="2" t="s">
        <v>70</v>
      </c>
      <c r="E212" s="2" t="s">
        <v>411</v>
      </c>
      <c r="F212" s="2">
        <v>185</v>
      </c>
      <c r="G212" s="2">
        <v>522115.5</v>
      </c>
      <c r="H212" s="2">
        <v>529123.19999999995</v>
      </c>
      <c r="I212" s="2">
        <v>2.75E-2</v>
      </c>
      <c r="J212" s="2">
        <v>7.2999999999999995E-2</v>
      </c>
      <c r="K212" s="11">
        <v>0.03</v>
      </c>
      <c r="L212" s="2">
        <v>43388.95</v>
      </c>
      <c r="M212" s="2">
        <v>545</v>
      </c>
      <c r="N212" s="2">
        <v>3009</v>
      </c>
      <c r="O212" s="2">
        <v>714</v>
      </c>
      <c r="P212" s="2">
        <v>79.613</v>
      </c>
      <c r="Q212" s="2">
        <v>32.965000000000003</v>
      </c>
      <c r="R212" s="2">
        <v>0.23042000000000001</v>
      </c>
      <c r="AB212">
        <v>0.18212</v>
      </c>
    </row>
    <row r="213" spans="1:28">
      <c r="A213" s="2" t="s">
        <v>406</v>
      </c>
      <c r="B213" s="2" t="s">
        <v>409</v>
      </c>
      <c r="C213" s="15" t="s">
        <v>66</v>
      </c>
      <c r="D213" s="2" t="s">
        <v>70</v>
      </c>
      <c r="E213" s="2" t="s">
        <v>412</v>
      </c>
      <c r="F213" s="2">
        <v>185</v>
      </c>
      <c r="G213" s="2">
        <v>502132.5</v>
      </c>
      <c r="H213" s="2">
        <v>501591.6</v>
      </c>
      <c r="I213" s="2">
        <v>2.75E-2</v>
      </c>
      <c r="J213" s="2">
        <v>7.2999999999999995E-2</v>
      </c>
      <c r="K213" s="11">
        <v>0.03</v>
      </c>
      <c r="L213" s="2">
        <v>42823.16</v>
      </c>
      <c r="M213" s="2">
        <v>577</v>
      </c>
      <c r="N213" s="3">
        <v>2812</v>
      </c>
      <c r="O213" s="2">
        <v>705</v>
      </c>
      <c r="P213" s="2">
        <v>74.216999999999999</v>
      </c>
      <c r="Q213" s="2">
        <v>32.085999999999999</v>
      </c>
      <c r="R213" s="2">
        <v>0.25014999999999998</v>
      </c>
      <c r="S213" s="2"/>
      <c r="T213" s="2"/>
      <c r="U213" s="2"/>
      <c r="V213" s="2"/>
      <c r="W213" s="2"/>
      <c r="X213" s="2"/>
      <c r="Y213" s="2"/>
      <c r="Z213" s="2"/>
      <c r="AA213" s="2"/>
      <c r="AB213">
        <v>0.18295</v>
      </c>
    </row>
    <row r="214" spans="1:28" hidden="1">
      <c r="A214" t="s">
        <v>413</v>
      </c>
      <c r="B214" s="2" t="s">
        <v>414</v>
      </c>
      <c r="C214" s="16" t="s">
        <v>61</v>
      </c>
      <c r="D214" t="s">
        <v>75</v>
      </c>
      <c r="E214" t="s">
        <v>415</v>
      </c>
      <c r="F214" s="2">
        <v>59</v>
      </c>
      <c r="G214" s="2">
        <v>21433</v>
      </c>
      <c r="H214" s="2">
        <v>13920</v>
      </c>
      <c r="I214" s="4"/>
      <c r="J214" s="4"/>
      <c r="K214" s="14">
        <v>0.03</v>
      </c>
      <c r="L214" s="2">
        <v>0</v>
      </c>
      <c r="M214" s="2">
        <v>1</v>
      </c>
      <c r="N214" s="4"/>
      <c r="O214" s="4"/>
      <c r="P214" s="4"/>
      <c r="Q214" s="4"/>
      <c r="R214" s="2">
        <v>28.80818</v>
      </c>
      <c r="AB214" s="2">
        <v>0</v>
      </c>
    </row>
    <row r="215" spans="1:28" hidden="1">
      <c r="A215" t="s">
        <v>416</v>
      </c>
      <c r="B215" s="2" t="s">
        <v>417</v>
      </c>
      <c r="C215" s="16" t="s">
        <v>61</v>
      </c>
      <c r="D215" t="s">
        <v>80</v>
      </c>
      <c r="E215" t="s">
        <v>418</v>
      </c>
      <c r="F215" s="2">
        <v>60</v>
      </c>
      <c r="G215" s="2">
        <v>1006339</v>
      </c>
      <c r="H215" s="2">
        <v>788583.3</v>
      </c>
      <c r="I215" s="2">
        <v>0.03</v>
      </c>
      <c r="J215" s="4"/>
      <c r="K215" s="14">
        <v>0.03</v>
      </c>
      <c r="L215" s="2">
        <v>81052.5</v>
      </c>
      <c r="M215" s="2">
        <v>1261</v>
      </c>
      <c r="N215" s="4"/>
      <c r="O215" s="2">
        <v>1920</v>
      </c>
      <c r="P215" s="2">
        <v>39.19</v>
      </c>
      <c r="Q215" s="4"/>
      <c r="R215" s="2">
        <v>0.39860000000000001</v>
      </c>
      <c r="AB215" s="2"/>
    </row>
    <row r="216" spans="1:28" hidden="1">
      <c r="A216" t="s">
        <v>416</v>
      </c>
      <c r="B216" s="2" t="s">
        <v>419</v>
      </c>
      <c r="C216" s="16" t="s">
        <v>61</v>
      </c>
      <c r="D216" t="s">
        <v>75</v>
      </c>
      <c r="E216" t="s">
        <v>420</v>
      </c>
      <c r="F216" s="2" t="s">
        <v>421</v>
      </c>
      <c r="G216" s="2">
        <v>473844.7</v>
      </c>
      <c r="H216" s="2">
        <v>473844.7</v>
      </c>
      <c r="I216" s="2">
        <v>0.03</v>
      </c>
      <c r="J216" s="4"/>
      <c r="K216" s="14">
        <v>0.03</v>
      </c>
      <c r="L216" s="2">
        <v>34509.07</v>
      </c>
      <c r="M216" s="2">
        <v>520</v>
      </c>
      <c r="N216" s="4"/>
      <c r="O216" s="2">
        <v>894</v>
      </c>
      <c r="P216" s="4"/>
      <c r="Q216" s="4"/>
      <c r="R216" s="2">
        <v>0</v>
      </c>
      <c r="AB216" s="2"/>
    </row>
    <row r="217" spans="1:28">
      <c r="A217" s="2" t="s">
        <v>416</v>
      </c>
      <c r="B217" s="2" t="s">
        <v>422</v>
      </c>
      <c r="C217" s="15" t="s">
        <v>66</v>
      </c>
      <c r="D217" s="2" t="s">
        <v>70</v>
      </c>
      <c r="E217" s="2" t="s">
        <v>423</v>
      </c>
      <c r="F217" s="2">
        <v>200</v>
      </c>
      <c r="G217" s="2">
        <v>1015455</v>
      </c>
      <c r="H217" s="2">
        <v>830686</v>
      </c>
      <c r="I217" s="2">
        <v>2.5000000000000001E-2</v>
      </c>
      <c r="J217" s="2">
        <v>7.4999999999999997E-2</v>
      </c>
      <c r="K217" s="11">
        <v>0.03</v>
      </c>
      <c r="L217" s="2">
        <v>228673.6</v>
      </c>
      <c r="M217" s="2">
        <v>5144</v>
      </c>
      <c r="N217" s="3">
        <v>2561</v>
      </c>
      <c r="O217" s="2">
        <v>4782</v>
      </c>
      <c r="P217" s="2">
        <v>44.454000000000001</v>
      </c>
      <c r="Q217" s="2">
        <v>12.512</v>
      </c>
      <c r="R217" s="2">
        <v>0.13189999999999999</v>
      </c>
      <c r="S217" s="2"/>
      <c r="T217" s="2"/>
      <c r="U217" s="2"/>
      <c r="V217" s="2"/>
      <c r="W217" s="2"/>
      <c r="X217" s="2"/>
      <c r="Y217" s="2"/>
      <c r="Z217" s="2"/>
      <c r="AA217" s="2"/>
      <c r="AB217">
        <v>5.8500000000000003E-2</v>
      </c>
    </row>
    <row r="218" spans="1:28" hidden="1">
      <c r="A218" s="2" t="s">
        <v>416</v>
      </c>
      <c r="B218" t="s">
        <v>422</v>
      </c>
      <c r="C218" s="16" t="s">
        <v>61</v>
      </c>
      <c r="D218" t="s">
        <v>70</v>
      </c>
      <c r="E218" s="2" t="s">
        <v>424</v>
      </c>
      <c r="F218">
        <v>200</v>
      </c>
      <c r="G218">
        <v>996543.28200000001</v>
      </c>
      <c r="H218">
        <v>831005.30200000003</v>
      </c>
      <c r="I218">
        <v>2.5000000000000001E-2</v>
      </c>
      <c r="J218">
        <v>7.4999999999999997E-2</v>
      </c>
      <c r="K218" s="14">
        <v>0.03</v>
      </c>
      <c r="L218">
        <v>228447.481</v>
      </c>
      <c r="M218">
        <v>5202</v>
      </c>
      <c r="O218">
        <v>4678</v>
      </c>
      <c r="P218">
        <v>43.914999999999999</v>
      </c>
      <c r="Q218">
        <v>12.189</v>
      </c>
      <c r="R218">
        <v>0.1226</v>
      </c>
      <c r="AB218">
        <v>5.8000000000000003E-2</v>
      </c>
    </row>
    <row r="219" spans="1:28" hidden="1">
      <c r="A219" s="2" t="s">
        <v>416</v>
      </c>
      <c r="B219" s="2" t="s">
        <v>422</v>
      </c>
      <c r="C219" s="16" t="s">
        <v>64</v>
      </c>
      <c r="D219" s="2" t="s">
        <v>70</v>
      </c>
      <c r="E219" s="2" t="s">
        <v>425</v>
      </c>
      <c r="F219" s="2">
        <v>200</v>
      </c>
      <c r="G219" s="2">
        <v>1084125</v>
      </c>
      <c r="H219" s="2">
        <v>841450.4</v>
      </c>
      <c r="I219" s="2">
        <v>2.5000000000000001E-2</v>
      </c>
      <c r="J219" s="2">
        <v>7.2499999999999995E-2</v>
      </c>
      <c r="K219" s="11">
        <v>0.03</v>
      </c>
      <c r="L219" s="2">
        <v>228162.8</v>
      </c>
      <c r="M219" s="2">
        <v>4984</v>
      </c>
      <c r="N219" s="2">
        <v>85</v>
      </c>
      <c r="O219" s="2">
        <v>4890</v>
      </c>
      <c r="P219" s="2">
        <v>45.779000000000003</v>
      </c>
      <c r="Q219" s="2">
        <v>12.803000000000001</v>
      </c>
      <c r="R219" s="2">
        <v>0.1542</v>
      </c>
      <c r="AB219">
        <v>5.5899999999999998E-2</v>
      </c>
    </row>
    <row r="220" spans="1:28" hidden="1">
      <c r="A220" t="s">
        <v>416</v>
      </c>
      <c r="B220" t="s">
        <v>426</v>
      </c>
      <c r="C220" s="16" t="s">
        <v>61</v>
      </c>
      <c r="D220" t="s">
        <v>154</v>
      </c>
      <c r="E220" s="2" t="s">
        <v>427</v>
      </c>
      <c r="F220">
        <v>102</v>
      </c>
      <c r="G220">
        <v>1238153.321</v>
      </c>
      <c r="H220">
        <v>886156.01100000006</v>
      </c>
      <c r="I220">
        <v>2.75E-2</v>
      </c>
      <c r="J220">
        <v>4.7800000000000002E-2</v>
      </c>
      <c r="K220" s="14">
        <v>0.03</v>
      </c>
      <c r="L220">
        <v>263772.38</v>
      </c>
      <c r="M220">
        <v>5050</v>
      </c>
      <c r="O220">
        <v>4500</v>
      </c>
      <c r="P220">
        <v>52.323</v>
      </c>
      <c r="Q220">
        <v>23.556000000000001</v>
      </c>
      <c r="R220">
        <v>0.18740000000000001</v>
      </c>
    </row>
    <row r="221" spans="1:28" hidden="1">
      <c r="A221" s="2" t="s">
        <v>416</v>
      </c>
      <c r="B221" s="2" t="s">
        <v>426</v>
      </c>
      <c r="C221" s="16" t="s">
        <v>64</v>
      </c>
      <c r="D221" s="2" t="s">
        <v>154</v>
      </c>
      <c r="E221" s="2" t="s">
        <v>428</v>
      </c>
      <c r="F221" s="2">
        <v>102</v>
      </c>
      <c r="G221" s="2">
        <v>1221293</v>
      </c>
      <c r="H221" s="2">
        <v>894772.2</v>
      </c>
      <c r="I221" s="2">
        <v>2.75E-2</v>
      </c>
      <c r="J221" s="2">
        <v>7.4999999999999997E-2</v>
      </c>
      <c r="K221" s="11">
        <v>0.03</v>
      </c>
      <c r="L221" s="2">
        <v>264676.8</v>
      </c>
      <c r="M221" s="2">
        <v>4984</v>
      </c>
      <c r="N221" s="2">
        <v>2561</v>
      </c>
      <c r="O221" s="2">
        <v>4386</v>
      </c>
      <c r="P221" s="2">
        <v>53.104999999999997</v>
      </c>
      <c r="Q221" s="2">
        <v>24.06</v>
      </c>
      <c r="R221" s="2">
        <v>0.17100000000000001</v>
      </c>
    </row>
    <row r="222" spans="1:28">
      <c r="A222" s="2" t="s">
        <v>416</v>
      </c>
      <c r="B222" s="2" t="s">
        <v>426</v>
      </c>
      <c r="C222" s="15" t="s">
        <v>66</v>
      </c>
      <c r="D222" s="2" t="s">
        <v>154</v>
      </c>
      <c r="E222" s="2" t="s">
        <v>429</v>
      </c>
      <c r="F222" s="2">
        <v>102</v>
      </c>
      <c r="G222" s="2">
        <v>1241617</v>
      </c>
      <c r="H222" s="2">
        <v>888759.2</v>
      </c>
      <c r="I222" s="2">
        <v>2.75E-2</v>
      </c>
      <c r="J222" s="2">
        <v>7.4999999999999997E-2</v>
      </c>
      <c r="K222" s="11">
        <v>0.03</v>
      </c>
      <c r="L222" s="2">
        <v>272973.40000000002</v>
      </c>
      <c r="M222" s="2">
        <v>5108</v>
      </c>
      <c r="N222" s="3">
        <v>83</v>
      </c>
      <c r="O222" s="2">
        <v>4477</v>
      </c>
      <c r="P222" s="2">
        <v>53.44</v>
      </c>
      <c r="Q222" s="2">
        <v>23.736000000000001</v>
      </c>
      <c r="R222" s="2">
        <v>0.18179999999999999</v>
      </c>
      <c r="S222" s="2"/>
      <c r="T222" s="2"/>
      <c r="U222" s="2"/>
      <c r="V222" s="2"/>
      <c r="W222" s="2"/>
      <c r="X222" s="2"/>
      <c r="Y222" s="2"/>
      <c r="Z222" s="2"/>
      <c r="AA222" s="2"/>
    </row>
    <row r="223" spans="1:28" hidden="1">
      <c r="A223" t="s">
        <v>430</v>
      </c>
      <c r="B223" t="s">
        <v>431</v>
      </c>
      <c r="C223" s="16" t="s">
        <v>61</v>
      </c>
      <c r="D223" t="s">
        <v>154</v>
      </c>
      <c r="E223" s="2" t="s">
        <v>427</v>
      </c>
      <c r="F223">
        <v>103</v>
      </c>
      <c r="G223">
        <v>1676193</v>
      </c>
      <c r="H223">
        <v>1067675</v>
      </c>
      <c r="I223">
        <v>2.5000000000000001E-2</v>
      </c>
      <c r="J223">
        <v>0.08</v>
      </c>
      <c r="K223" s="14">
        <v>0.03</v>
      </c>
      <c r="L223">
        <v>263122</v>
      </c>
      <c r="M223">
        <v>3445</v>
      </c>
      <c r="O223">
        <v>4046</v>
      </c>
      <c r="P223">
        <v>77.703999999999994</v>
      </c>
      <c r="Q223">
        <v>28.497</v>
      </c>
      <c r="R223">
        <v>0.1673</v>
      </c>
      <c r="AB223">
        <v>8.2600000000000007E-2</v>
      </c>
    </row>
    <row r="224" spans="1:28" hidden="1">
      <c r="A224" s="2" t="s">
        <v>430</v>
      </c>
      <c r="B224" s="2" t="s">
        <v>431</v>
      </c>
      <c r="C224" s="16" t="s">
        <v>64</v>
      </c>
      <c r="D224" s="2" t="s">
        <v>154</v>
      </c>
      <c r="E224" s="2" t="s">
        <v>432</v>
      </c>
      <c r="F224" s="2">
        <v>103</v>
      </c>
      <c r="G224" s="2">
        <v>1691236</v>
      </c>
      <c r="H224" s="2">
        <v>1090243</v>
      </c>
      <c r="I224" s="2">
        <v>2.5000000000000001E-2</v>
      </c>
      <c r="J224" s="2">
        <v>7.4999999999999997E-2</v>
      </c>
      <c r="K224" s="11">
        <v>0.03</v>
      </c>
      <c r="L224" s="2">
        <v>274667</v>
      </c>
      <c r="M224" s="2">
        <v>3353</v>
      </c>
      <c r="N224" s="2">
        <v>3560</v>
      </c>
      <c r="O224" s="2">
        <v>4194</v>
      </c>
      <c r="P224" s="2">
        <v>82.247</v>
      </c>
      <c r="Q224" s="2">
        <v>27.97</v>
      </c>
      <c r="R224" s="2">
        <v>0.17660000000000001</v>
      </c>
      <c r="AB224">
        <v>8.2699999999999996E-2</v>
      </c>
    </row>
    <row r="225" spans="1:28">
      <c r="A225" s="2" t="s">
        <v>430</v>
      </c>
      <c r="B225" s="2" t="s">
        <v>431</v>
      </c>
      <c r="C225" s="15" t="s">
        <v>66</v>
      </c>
      <c r="D225" s="2" t="s">
        <v>154</v>
      </c>
      <c r="E225" s="2" t="s">
        <v>433</v>
      </c>
      <c r="F225" s="2">
        <v>103</v>
      </c>
      <c r="G225" s="2">
        <v>1691721</v>
      </c>
      <c r="H225" s="2">
        <v>1079552</v>
      </c>
      <c r="I225" s="2">
        <v>2.5000000000000001E-2</v>
      </c>
      <c r="J225" s="2">
        <v>7.4999999999999997E-2</v>
      </c>
      <c r="K225" s="11">
        <v>0.03</v>
      </c>
      <c r="L225" s="2">
        <v>268614</v>
      </c>
      <c r="M225" s="2">
        <v>3347</v>
      </c>
      <c r="N225" s="3">
        <v>3274</v>
      </c>
      <c r="O225" s="2">
        <v>4124</v>
      </c>
      <c r="P225" s="2">
        <v>79.893000000000001</v>
      </c>
      <c r="Q225" s="2">
        <v>28.22</v>
      </c>
      <c r="R225" s="2">
        <v>0.1759</v>
      </c>
      <c r="S225" s="2"/>
      <c r="T225" s="2"/>
      <c r="U225" s="2"/>
      <c r="V225" s="2"/>
      <c r="W225" s="2"/>
      <c r="X225" s="2"/>
      <c r="Y225" s="2"/>
      <c r="Z225" s="2"/>
      <c r="AA225" s="2"/>
      <c r="AB225">
        <v>8.2400000000000001E-2</v>
      </c>
    </row>
    <row r="226" spans="1:28" hidden="1">
      <c r="A226" t="s">
        <v>434</v>
      </c>
      <c r="B226" s="2" t="s">
        <v>435</v>
      </c>
      <c r="C226" s="16" t="s">
        <v>61</v>
      </c>
      <c r="D226" t="s">
        <v>62</v>
      </c>
      <c r="E226" t="s">
        <v>436</v>
      </c>
      <c r="F226" s="2">
        <v>61</v>
      </c>
      <c r="G226" s="2">
        <v>1318531</v>
      </c>
      <c r="H226" s="2">
        <v>1266175</v>
      </c>
      <c r="I226" s="2">
        <v>0.03</v>
      </c>
      <c r="J226" s="4"/>
      <c r="K226" s="4"/>
      <c r="L226" s="2">
        <v>122597.3</v>
      </c>
      <c r="M226" s="2">
        <v>1410</v>
      </c>
      <c r="N226" s="2">
        <v>15</v>
      </c>
      <c r="O226" s="2">
        <v>1965</v>
      </c>
      <c r="P226" s="2">
        <v>38.200000000000003</v>
      </c>
      <c r="Q226" s="4"/>
      <c r="R226" s="2">
        <v>0.186</v>
      </c>
      <c r="AB226" s="2">
        <v>0.27060000000000001</v>
      </c>
    </row>
    <row r="227" spans="1:28" hidden="1">
      <c r="A227" t="s">
        <v>437</v>
      </c>
      <c r="B227" t="s">
        <v>438</v>
      </c>
      <c r="C227" s="16" t="s">
        <v>61</v>
      </c>
      <c r="D227" t="s">
        <v>70</v>
      </c>
      <c r="E227" s="2" t="s">
        <v>439</v>
      </c>
      <c r="F227">
        <v>176</v>
      </c>
      <c r="G227">
        <v>1053987</v>
      </c>
      <c r="H227">
        <v>803439</v>
      </c>
      <c r="I227">
        <v>0.03</v>
      </c>
      <c r="J227">
        <v>7.2499999999999995E-2</v>
      </c>
      <c r="K227" s="14">
        <v>0.03</v>
      </c>
      <c r="L227">
        <v>118152</v>
      </c>
      <c r="M227">
        <v>2455</v>
      </c>
      <c r="O227">
        <v>3031</v>
      </c>
      <c r="P227">
        <v>48.127000000000002</v>
      </c>
      <c r="Q227">
        <v>24.192</v>
      </c>
      <c r="R227">
        <v>0.21990000000000001</v>
      </c>
      <c r="AB227">
        <v>0.10970000000000001</v>
      </c>
    </row>
    <row r="228" spans="1:28" hidden="1">
      <c r="A228" s="2" t="s">
        <v>437</v>
      </c>
      <c r="B228" s="2" t="s">
        <v>438</v>
      </c>
      <c r="C228" s="16" t="s">
        <v>64</v>
      </c>
      <c r="D228" s="2" t="s">
        <v>70</v>
      </c>
      <c r="E228" s="2" t="s">
        <v>440</v>
      </c>
      <c r="F228" s="2">
        <v>176</v>
      </c>
      <c r="G228" s="2">
        <v>1148930</v>
      </c>
      <c r="H228" s="2">
        <v>842425</v>
      </c>
      <c r="I228" s="2">
        <v>2.5000000000000001E-2</v>
      </c>
      <c r="J228" s="2">
        <v>7.0000000000000007E-2</v>
      </c>
      <c r="K228" s="11">
        <v>0.03</v>
      </c>
      <c r="L228" s="2">
        <v>127378</v>
      </c>
      <c r="M228" s="2">
        <v>2482</v>
      </c>
      <c r="N228" s="2">
        <v>5325</v>
      </c>
      <c r="O228" s="2">
        <v>3145</v>
      </c>
      <c r="P228" s="2">
        <v>51.320999999999998</v>
      </c>
      <c r="Q228" s="2">
        <v>24.523</v>
      </c>
      <c r="R228" s="2">
        <v>0.2412</v>
      </c>
      <c r="AB228">
        <v>0.11749999999999999</v>
      </c>
    </row>
    <row r="229" spans="1:28">
      <c r="A229" s="2" t="s">
        <v>437</v>
      </c>
      <c r="B229" s="2" t="s">
        <v>438</v>
      </c>
      <c r="C229" s="15" t="s">
        <v>66</v>
      </c>
      <c r="D229" s="2" t="s">
        <v>70</v>
      </c>
      <c r="E229" s="2" t="s">
        <v>441</v>
      </c>
      <c r="F229" s="2">
        <v>176</v>
      </c>
      <c r="G229" s="2">
        <v>1129492</v>
      </c>
      <c r="H229" s="2">
        <v>822835</v>
      </c>
      <c r="I229" s="2">
        <v>2.5000000000000001E-2</v>
      </c>
      <c r="J229" s="2">
        <v>7.0000000000000007E-2</v>
      </c>
      <c r="K229" s="11">
        <v>0.03</v>
      </c>
      <c r="L229" s="2">
        <v>123823</v>
      </c>
      <c r="M229" s="2">
        <v>2508</v>
      </c>
      <c r="N229" s="3">
        <v>5231</v>
      </c>
      <c r="O229" s="2">
        <v>3101</v>
      </c>
      <c r="P229" s="2">
        <v>49.371000000000002</v>
      </c>
      <c r="Q229" s="2">
        <v>24.36</v>
      </c>
      <c r="R229" s="2">
        <v>0.2472</v>
      </c>
      <c r="S229" s="2"/>
      <c r="T229" s="2"/>
      <c r="U229" s="2"/>
      <c r="V229" s="2"/>
      <c r="W229" s="2"/>
      <c r="X229" s="2"/>
      <c r="Y229" s="2"/>
      <c r="Z229" s="2"/>
      <c r="AA229" s="2"/>
      <c r="AB229">
        <v>0.1183</v>
      </c>
    </row>
    <row r="230" spans="1:28" hidden="1">
      <c r="A230" s="2" t="s">
        <v>442</v>
      </c>
      <c r="B230" t="s">
        <v>443</v>
      </c>
      <c r="C230" s="16" t="s">
        <v>61</v>
      </c>
      <c r="D230" t="s">
        <v>70</v>
      </c>
      <c r="E230" s="2" t="s">
        <v>444</v>
      </c>
      <c r="F230">
        <v>179</v>
      </c>
      <c r="G230">
        <v>658709</v>
      </c>
      <c r="H230">
        <v>598779</v>
      </c>
      <c r="I230">
        <v>2.75E-2</v>
      </c>
      <c r="J230">
        <v>7.4999999999999997E-2</v>
      </c>
      <c r="K230" s="14">
        <v>0.03</v>
      </c>
      <c r="L230">
        <v>78899</v>
      </c>
      <c r="M230">
        <v>1449</v>
      </c>
      <c r="O230">
        <v>1421</v>
      </c>
      <c r="P230">
        <v>50.482999999999997</v>
      </c>
      <c r="Q230">
        <v>27.512</v>
      </c>
      <c r="R230">
        <v>0.13700000000000001</v>
      </c>
      <c r="AB230">
        <v>0.13</v>
      </c>
    </row>
    <row r="231" spans="1:28" hidden="1">
      <c r="A231" s="2" t="s">
        <v>442</v>
      </c>
      <c r="B231" s="2" t="s">
        <v>443</v>
      </c>
      <c r="C231" s="16" t="s">
        <v>64</v>
      </c>
      <c r="D231" s="2" t="s">
        <v>70</v>
      </c>
      <c r="E231" s="2" t="s">
        <v>445</v>
      </c>
      <c r="F231" s="2">
        <v>179</v>
      </c>
      <c r="G231" s="2">
        <v>686221.1</v>
      </c>
      <c r="H231" s="2">
        <v>636877</v>
      </c>
      <c r="I231" s="2">
        <v>2.75E-2</v>
      </c>
      <c r="J231" s="2">
        <v>7.5899999999999995E-2</v>
      </c>
      <c r="K231" s="11">
        <v>0.03</v>
      </c>
      <c r="L231" s="2">
        <v>80365.63</v>
      </c>
      <c r="M231" s="2">
        <v>1347</v>
      </c>
      <c r="N231" s="2">
        <v>516</v>
      </c>
      <c r="O231" s="2">
        <v>1459</v>
      </c>
      <c r="P231" s="2">
        <v>52.191000000000003</v>
      </c>
      <c r="Q231" s="2">
        <v>28.884</v>
      </c>
      <c r="R231" s="2">
        <v>0.13700000000000001</v>
      </c>
      <c r="AB231">
        <v>0.13</v>
      </c>
    </row>
    <row r="232" spans="1:28">
      <c r="A232" s="2" t="s">
        <v>442</v>
      </c>
      <c r="B232" s="2" t="s">
        <v>443</v>
      </c>
      <c r="C232" s="15" t="s">
        <v>66</v>
      </c>
      <c r="D232" s="2" t="s">
        <v>70</v>
      </c>
      <c r="E232" s="2" t="s">
        <v>446</v>
      </c>
      <c r="F232" s="2">
        <v>179</v>
      </c>
      <c r="G232" s="2">
        <v>675257.1</v>
      </c>
      <c r="H232" s="2">
        <v>613063.1</v>
      </c>
      <c r="I232" s="2">
        <v>2.75E-2</v>
      </c>
      <c r="J232" s="2">
        <v>7.5999999999999998E-2</v>
      </c>
      <c r="K232" s="11">
        <v>0.03</v>
      </c>
      <c r="L232" s="2">
        <v>80029.36</v>
      </c>
      <c r="M232" s="2">
        <v>1441</v>
      </c>
      <c r="N232" s="3">
        <v>479</v>
      </c>
      <c r="O232" s="2">
        <v>1430</v>
      </c>
      <c r="P232" s="2">
        <v>51.063000000000002</v>
      </c>
      <c r="Q232" s="2">
        <v>28.324000000000002</v>
      </c>
      <c r="R232" s="2">
        <v>0.13900000000000001</v>
      </c>
      <c r="S232" s="2"/>
      <c r="T232" s="2"/>
      <c r="U232" s="2"/>
      <c r="V232" s="2"/>
      <c r="W232" s="2"/>
      <c r="X232" s="2"/>
      <c r="Y232" s="2"/>
      <c r="Z232" s="2"/>
      <c r="AA232" s="2"/>
      <c r="AB232">
        <v>0.13</v>
      </c>
    </row>
    <row r="233" spans="1:28" ht="17.25" customHeight="1">
      <c r="A233" s="2" t="s">
        <v>442</v>
      </c>
      <c r="B233" s="2" t="s">
        <v>447</v>
      </c>
      <c r="C233" s="15" t="s">
        <v>66</v>
      </c>
      <c r="D233" s="2" t="s">
        <v>62</v>
      </c>
      <c r="E233" s="2" t="s">
        <v>448</v>
      </c>
      <c r="F233" s="2">
        <v>209</v>
      </c>
      <c r="G233" s="2">
        <v>788446.6</v>
      </c>
      <c r="H233" s="2">
        <v>722197.4</v>
      </c>
      <c r="I233" s="2">
        <v>2.75E-2</v>
      </c>
      <c r="J233" s="2">
        <v>7.5999999999999998E-2</v>
      </c>
      <c r="K233" s="11">
        <v>0.03</v>
      </c>
      <c r="L233" s="2">
        <v>73891.09</v>
      </c>
      <c r="M233" s="2">
        <v>1094</v>
      </c>
      <c r="N233" s="3">
        <v>178</v>
      </c>
      <c r="O233" s="2">
        <v>1044</v>
      </c>
      <c r="P233" s="2">
        <v>67.542000000000002</v>
      </c>
      <c r="Q233" s="2">
        <v>35.868000000000002</v>
      </c>
      <c r="R233" s="2">
        <v>0.22600000000000001</v>
      </c>
      <c r="S233" s="2"/>
      <c r="T233" s="2"/>
      <c r="U233" s="2"/>
      <c r="V233" s="2"/>
      <c r="W233" s="2"/>
      <c r="X233" s="2"/>
      <c r="Y233" s="2"/>
      <c r="Z233" s="2"/>
      <c r="AA233" s="2"/>
      <c r="AB233">
        <v>0.23200000000000001</v>
      </c>
    </row>
    <row r="234" spans="1:28" hidden="1">
      <c r="A234" s="2" t="s">
        <v>442</v>
      </c>
      <c r="B234" t="s">
        <v>447</v>
      </c>
      <c r="C234" s="16" t="s">
        <v>61</v>
      </c>
      <c r="D234" s="2" t="s">
        <v>62</v>
      </c>
      <c r="E234" s="2" t="s">
        <v>449</v>
      </c>
      <c r="F234">
        <v>209</v>
      </c>
      <c r="G234">
        <v>762085</v>
      </c>
      <c r="H234">
        <v>690969</v>
      </c>
      <c r="I234">
        <v>2.75E-2</v>
      </c>
      <c r="J234">
        <v>7.3099999999999998E-2</v>
      </c>
      <c r="K234" s="14">
        <v>0.03</v>
      </c>
      <c r="L234">
        <v>72017</v>
      </c>
      <c r="M234">
        <v>1067</v>
      </c>
      <c r="N234" s="2">
        <v>39</v>
      </c>
      <c r="O234">
        <v>1015</v>
      </c>
      <c r="P234">
        <v>67.495000000000005</v>
      </c>
      <c r="Q234">
        <v>34.863999999999997</v>
      </c>
      <c r="R234">
        <v>0.219</v>
      </c>
      <c r="AB234">
        <v>0.217</v>
      </c>
    </row>
    <row r="235" spans="1:28" hidden="1">
      <c r="A235" s="2" t="s">
        <v>442</v>
      </c>
      <c r="B235" s="2" t="s">
        <v>447</v>
      </c>
      <c r="C235" s="16" t="s">
        <v>64</v>
      </c>
      <c r="D235" s="2" t="s">
        <v>62</v>
      </c>
      <c r="E235" s="2" t="s">
        <v>450</v>
      </c>
      <c r="F235" s="2">
        <v>209</v>
      </c>
      <c r="G235" s="2">
        <v>813745.9</v>
      </c>
      <c r="H235" s="2">
        <v>766121.9</v>
      </c>
      <c r="I235" s="2">
        <v>2.75E-2</v>
      </c>
      <c r="J235" s="11">
        <v>7.0000000000000007E-2</v>
      </c>
      <c r="K235" s="11">
        <v>0.03</v>
      </c>
      <c r="L235" s="2">
        <v>75880.11</v>
      </c>
      <c r="M235" s="2">
        <v>1116</v>
      </c>
      <c r="N235" s="2">
        <v>2552</v>
      </c>
      <c r="O235" s="2">
        <v>1060</v>
      </c>
      <c r="P235" s="2">
        <v>67.992999999999995</v>
      </c>
      <c r="Q235" s="2">
        <v>37.198</v>
      </c>
      <c r="R235" s="2">
        <v>0.20899999999999999</v>
      </c>
      <c r="AB235">
        <v>0.23400000000000001</v>
      </c>
    </row>
    <row r="236" spans="1:28" hidden="1">
      <c r="A236" t="s">
        <v>451</v>
      </c>
      <c r="B236" s="2" t="s">
        <v>452</v>
      </c>
      <c r="C236" s="16" t="s">
        <v>61</v>
      </c>
      <c r="D236" t="s">
        <v>80</v>
      </c>
      <c r="E236" t="s">
        <v>453</v>
      </c>
      <c r="F236" s="2">
        <v>66</v>
      </c>
      <c r="G236" s="2">
        <v>145184.20000000001</v>
      </c>
      <c r="H236" s="2">
        <v>78196.710000000006</v>
      </c>
      <c r="I236" s="4"/>
      <c r="J236" s="4"/>
      <c r="K236" s="4"/>
      <c r="L236" s="2">
        <v>3189.9009999999998</v>
      </c>
      <c r="M236" s="2">
        <v>41</v>
      </c>
      <c r="N236" s="2">
        <v>0</v>
      </c>
      <c r="O236" s="2">
        <v>479</v>
      </c>
      <c r="P236" s="4"/>
      <c r="Q236" s="4"/>
      <c r="R236" s="4"/>
      <c r="AB236" s="2"/>
    </row>
  </sheetData>
  <autoFilter ref="A1:BG236" xr:uid="{288173B4-F5A8-4FD6-8A9E-A3A035F602BE}">
    <filterColumn colId="2">
      <filters>
        <filter val="19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zoomScale="140" zoomScaleNormal="140" workbookViewId="0">
      <selection activeCell="H19" sqref="H19"/>
    </sheetView>
  </sheetViews>
  <sheetFormatPr defaultRowHeight="15"/>
  <cols>
    <col min="1" max="1" width="10.7109375" customWidth="1"/>
    <col min="3" max="3" width="5" customWidth="1"/>
    <col min="4" max="4" width="10" customWidth="1"/>
    <col min="5" max="5" width="6.28515625" customWidth="1"/>
    <col min="6" max="6" width="15.140625" customWidth="1"/>
    <col min="7" max="8" width="14.5703125" customWidth="1"/>
    <col min="9" max="9" width="11" bestFit="1" customWidth="1"/>
    <col min="11" max="11" width="15" customWidth="1"/>
    <col min="29" max="29" width="14.28515625" customWidth="1"/>
    <col min="30" max="30" width="10.42578125" bestFit="1" customWidth="1"/>
  </cols>
  <sheetData>
    <row r="1" spans="1:36">
      <c r="A1" t="s">
        <v>0</v>
      </c>
      <c r="B1" t="s">
        <v>454</v>
      </c>
      <c r="C1" t="s">
        <v>455</v>
      </c>
      <c r="D1" t="s">
        <v>4</v>
      </c>
      <c r="E1" t="s">
        <v>456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457</v>
      </c>
      <c r="M1" t="s">
        <v>13</v>
      </c>
      <c r="N1" t="s">
        <v>14</v>
      </c>
      <c r="O1" t="s">
        <v>458</v>
      </c>
      <c r="P1" t="s">
        <v>459</v>
      </c>
      <c r="Q1" t="s">
        <v>460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24</v>
      </c>
      <c r="AD1" t="s">
        <v>25</v>
      </c>
      <c r="AE1" t="s">
        <v>26</v>
      </c>
      <c r="AF1" t="s">
        <v>466</v>
      </c>
      <c r="AG1" t="s">
        <v>27</v>
      </c>
      <c r="AH1" t="s">
        <v>467</v>
      </c>
      <c r="AI1" t="s">
        <v>468</v>
      </c>
      <c r="AJ1" t="s">
        <v>469</v>
      </c>
    </row>
    <row r="2" spans="1:36">
      <c r="A2" t="s">
        <v>393</v>
      </c>
      <c r="B2" s="2" t="s">
        <v>394</v>
      </c>
      <c r="C2" t="s">
        <v>70</v>
      </c>
      <c r="D2" t="s">
        <v>470</v>
      </c>
      <c r="F2" s="2">
        <v>28798581000</v>
      </c>
      <c r="G2" s="5">
        <v>25248000000</v>
      </c>
      <c r="H2" s="2">
        <v>2.75E-2</v>
      </c>
      <c r="I2" s="4">
        <v>0.08</v>
      </c>
      <c r="J2" s="4">
        <v>0.03</v>
      </c>
      <c r="K2" s="2">
        <v>3549936000</v>
      </c>
      <c r="L2" s="2">
        <v>34202</v>
      </c>
      <c r="M2" s="3">
        <v>9955</v>
      </c>
      <c r="N2" s="3">
        <v>4027</v>
      </c>
      <c r="O2" s="2">
        <v>98787</v>
      </c>
      <c r="P2" s="2">
        <v>49173</v>
      </c>
      <c r="Q2">
        <v>0.26900000000000002</v>
      </c>
    </row>
    <row r="3" spans="1:36">
      <c r="A3" t="s">
        <v>274</v>
      </c>
      <c r="B3" s="2" t="s">
        <v>279</v>
      </c>
      <c r="C3" t="s">
        <v>62</v>
      </c>
      <c r="D3" t="s">
        <v>471</v>
      </c>
      <c r="F3" s="2">
        <v>22474125000</v>
      </c>
      <c r="G3" s="5">
        <v>21038000000</v>
      </c>
      <c r="H3" s="2">
        <v>0.03</v>
      </c>
      <c r="I3" s="4">
        <v>0.08</v>
      </c>
      <c r="J3" s="4">
        <v>0.03</v>
      </c>
      <c r="K3" s="2">
        <v>1583808000</v>
      </c>
      <c r="L3" s="2">
        <v>13535</v>
      </c>
      <c r="M3" s="3">
        <v>523</v>
      </c>
      <c r="N3" s="3">
        <v>2465</v>
      </c>
      <c r="O3" s="2">
        <v>117016</v>
      </c>
      <c r="P3" s="2">
        <v>73620</v>
      </c>
      <c r="Q3">
        <v>0.15090000000000001</v>
      </c>
    </row>
    <row r="4" spans="1:36">
      <c r="A4" t="s">
        <v>274</v>
      </c>
      <c r="B4" s="2" t="s">
        <v>275</v>
      </c>
      <c r="C4" t="s">
        <v>70</v>
      </c>
      <c r="D4" t="s">
        <v>472</v>
      </c>
      <c r="F4" s="2">
        <v>20793421143</v>
      </c>
      <c r="G4" s="5">
        <v>14819000000</v>
      </c>
      <c r="H4" s="2">
        <v>0.03</v>
      </c>
      <c r="I4" s="4">
        <v>0.08</v>
      </c>
      <c r="J4" s="4">
        <v>0.03</v>
      </c>
      <c r="K4" s="2">
        <v>2225412831</v>
      </c>
      <c r="L4" s="2">
        <v>26632</v>
      </c>
      <c r="M4" s="3">
        <v>8588</v>
      </c>
      <c r="N4" s="3">
        <v>3981</v>
      </c>
      <c r="O4" s="2">
        <v>83562</v>
      </c>
      <c r="P4" s="2">
        <v>47299</v>
      </c>
      <c r="Q4">
        <v>0.31840000000000002</v>
      </c>
    </row>
    <row r="5" spans="1:36">
      <c r="A5" t="s">
        <v>140</v>
      </c>
      <c r="B5" s="2" t="s">
        <v>145</v>
      </c>
      <c r="C5" t="s">
        <v>70</v>
      </c>
      <c r="D5" t="s">
        <v>473</v>
      </c>
      <c r="F5" s="2">
        <v>17260356470</v>
      </c>
      <c r="G5" s="2">
        <v>4012852196</v>
      </c>
      <c r="H5" s="2">
        <v>2.5000000000000001E-2</v>
      </c>
      <c r="I5" s="4">
        <v>0.08</v>
      </c>
      <c r="J5" s="4">
        <v>0.03</v>
      </c>
      <c r="K5" s="2">
        <v>1802790156</v>
      </c>
      <c r="L5" s="2">
        <v>32162</v>
      </c>
      <c r="M5" s="3">
        <v>18734</v>
      </c>
      <c r="N5" s="3">
        <v>3997</v>
      </c>
      <c r="O5" s="2">
        <v>56053</v>
      </c>
      <c r="P5" s="2">
        <v>36211</v>
      </c>
      <c r="Q5">
        <v>0.62839999999999996</v>
      </c>
    </row>
    <row r="6" spans="1:36">
      <c r="A6" t="s">
        <v>140</v>
      </c>
      <c r="B6" s="2" t="s">
        <v>149</v>
      </c>
      <c r="C6" t="s">
        <v>80</v>
      </c>
      <c r="D6" t="s">
        <v>474</v>
      </c>
      <c r="F6" s="2">
        <v>14269769913</v>
      </c>
      <c r="G6" s="2">
        <v>3179502852</v>
      </c>
      <c r="H6" s="2">
        <v>2.2499999999999999E-2</v>
      </c>
      <c r="I6" s="4">
        <v>0.08</v>
      </c>
      <c r="J6" s="4">
        <v>0.03</v>
      </c>
      <c r="K6" s="2">
        <v>1228986864</v>
      </c>
      <c r="L6" s="2">
        <v>13353</v>
      </c>
      <c r="M6" s="3">
        <v>707</v>
      </c>
      <c r="N6" s="3">
        <v>3461</v>
      </c>
      <c r="O6" s="2">
        <v>92038</v>
      </c>
      <c r="P6" s="2">
        <v>68746</v>
      </c>
      <c r="Q6">
        <v>0.64019999999999999</v>
      </c>
    </row>
    <row r="7" spans="1:36">
      <c r="A7" t="s">
        <v>274</v>
      </c>
      <c r="B7" s="2" t="s">
        <v>283</v>
      </c>
      <c r="C7" t="s">
        <v>284</v>
      </c>
      <c r="D7" t="s">
        <v>475</v>
      </c>
      <c r="F7" s="2">
        <v>13811956483</v>
      </c>
      <c r="G7" s="5">
        <v>12739000000</v>
      </c>
      <c r="H7" s="2">
        <v>2.75E-2</v>
      </c>
      <c r="I7" s="4">
        <v>0.08</v>
      </c>
      <c r="J7" s="4">
        <v>0.03</v>
      </c>
      <c r="K7" s="2">
        <v>1141875615</v>
      </c>
      <c r="L7" s="2">
        <v>10362</v>
      </c>
      <c r="M7" s="3">
        <v>1663</v>
      </c>
      <c r="N7" s="3">
        <v>1960</v>
      </c>
      <c r="O7" s="2">
        <v>110198</v>
      </c>
      <c r="P7" s="2">
        <v>63496</v>
      </c>
      <c r="Q7">
        <v>0.25459999999999999</v>
      </c>
    </row>
    <row r="8" spans="1:36">
      <c r="A8" t="s">
        <v>117</v>
      </c>
      <c r="B8" s="2" t="s">
        <v>118</v>
      </c>
      <c r="C8" t="s">
        <v>70</v>
      </c>
      <c r="D8" t="s">
        <v>476</v>
      </c>
      <c r="E8">
        <v>2019</v>
      </c>
      <c r="F8" s="2">
        <v>11822396011</v>
      </c>
      <c r="G8" s="2">
        <v>7476797905</v>
      </c>
      <c r="H8" s="2"/>
      <c r="I8">
        <v>7.1499999999999994E-2</v>
      </c>
      <c r="J8">
        <v>3.2500000000000001E-2</v>
      </c>
      <c r="K8" s="2">
        <v>1646906229</v>
      </c>
      <c r="L8" s="2">
        <v>20856</v>
      </c>
      <c r="M8" s="3">
        <v>1147</v>
      </c>
      <c r="N8" s="3">
        <v>2100</v>
      </c>
      <c r="O8" s="2">
        <v>78966</v>
      </c>
      <c r="P8" s="2">
        <v>43374</v>
      </c>
      <c r="Q8" s="6">
        <v>0.12662999999999999</v>
      </c>
      <c r="R8" t="s">
        <v>477</v>
      </c>
      <c r="S8">
        <v>66.540000000000006</v>
      </c>
      <c r="T8">
        <v>0.75</v>
      </c>
      <c r="U8">
        <v>0.04</v>
      </c>
      <c r="X8">
        <v>0.03</v>
      </c>
      <c r="Y8">
        <v>0.03</v>
      </c>
      <c r="Z8">
        <v>0.03</v>
      </c>
      <c r="AA8">
        <v>0.03</v>
      </c>
      <c r="AB8">
        <v>0.03</v>
      </c>
      <c r="AC8">
        <v>6423076283</v>
      </c>
      <c r="AD8">
        <v>195840315</v>
      </c>
      <c r="AF8">
        <v>0.02</v>
      </c>
    </row>
    <row r="9" spans="1:36">
      <c r="A9" t="s">
        <v>359</v>
      </c>
      <c r="B9" s="2" t="s">
        <v>360</v>
      </c>
      <c r="C9" t="s">
        <v>70</v>
      </c>
      <c r="D9" t="s">
        <v>478</v>
      </c>
      <c r="F9" s="2">
        <v>11783085000</v>
      </c>
      <c r="G9" s="2">
        <v>5852473000</v>
      </c>
      <c r="H9" s="2">
        <v>3.3000000000000002E-2</v>
      </c>
      <c r="I9" s="4">
        <v>0.08</v>
      </c>
      <c r="J9" s="4">
        <v>0.03</v>
      </c>
      <c r="K9" s="2">
        <v>1842554883</v>
      </c>
      <c r="L9" s="2">
        <v>28596</v>
      </c>
      <c r="M9" s="3">
        <v>965</v>
      </c>
      <c r="N9" s="3">
        <v>8574</v>
      </c>
      <c r="O9" s="2">
        <v>64434</v>
      </c>
      <c r="P9" s="2">
        <v>22309</v>
      </c>
    </row>
    <row r="10" spans="1:36">
      <c r="A10" t="s">
        <v>388</v>
      </c>
      <c r="B10" s="2" t="s">
        <v>389</v>
      </c>
      <c r="C10" t="s">
        <v>70</v>
      </c>
      <c r="D10" t="s">
        <v>479</v>
      </c>
      <c r="F10" s="2">
        <v>10602166314</v>
      </c>
      <c r="G10" s="2">
        <v>7595073335</v>
      </c>
      <c r="H10" s="2">
        <v>3.0499999999999999E-2</v>
      </c>
      <c r="I10" s="4">
        <v>0.08</v>
      </c>
      <c r="J10" s="4">
        <v>0.03</v>
      </c>
      <c r="K10" s="2">
        <v>484764465</v>
      </c>
      <c r="L10" s="2">
        <v>5757</v>
      </c>
      <c r="M10" s="3">
        <v>748</v>
      </c>
      <c r="N10" s="3">
        <v>1425</v>
      </c>
      <c r="O10" s="2">
        <v>84204</v>
      </c>
      <c r="P10" s="2">
        <v>50119</v>
      </c>
      <c r="Q10">
        <v>0.8054</v>
      </c>
    </row>
    <row r="11" spans="1:36">
      <c r="A11" t="s">
        <v>227</v>
      </c>
      <c r="B11" s="2" t="s">
        <v>236</v>
      </c>
      <c r="C11" t="s">
        <v>80</v>
      </c>
      <c r="D11" t="s">
        <v>480</v>
      </c>
      <c r="F11" s="2">
        <v>6655143000</v>
      </c>
      <c r="G11" s="2">
        <v>5434933000</v>
      </c>
      <c r="H11" s="2">
        <v>2.75E-2</v>
      </c>
      <c r="I11" s="4">
        <v>0.08</v>
      </c>
      <c r="J11" s="4">
        <v>0.03</v>
      </c>
      <c r="K11" s="2">
        <v>454696000</v>
      </c>
      <c r="L11" s="2">
        <v>5282</v>
      </c>
      <c r="M11" s="3">
        <v>43</v>
      </c>
      <c r="N11" s="3">
        <v>807</v>
      </c>
      <c r="O11" s="2">
        <v>86084</v>
      </c>
      <c r="P11" s="2">
        <v>52098</v>
      </c>
      <c r="Q11">
        <v>0.28804000000000002</v>
      </c>
    </row>
    <row r="12" spans="1:36">
      <c r="A12" t="s">
        <v>140</v>
      </c>
      <c r="B12" s="2" t="s">
        <v>141</v>
      </c>
      <c r="C12" t="s">
        <v>75</v>
      </c>
      <c r="D12" t="s">
        <v>481</v>
      </c>
      <c r="F12" s="2">
        <v>6256060133</v>
      </c>
      <c r="G12" s="2">
        <v>1137089084</v>
      </c>
      <c r="H12" s="2">
        <v>2.2499999999999999E-2</v>
      </c>
      <c r="I12" s="4">
        <v>0.08</v>
      </c>
      <c r="J12" s="4">
        <v>0.03</v>
      </c>
      <c r="K12" s="2">
        <v>457082316</v>
      </c>
      <c r="L12" s="2">
        <v>4630</v>
      </c>
      <c r="M12" s="3">
        <v>95</v>
      </c>
      <c r="N12" s="3">
        <v>1332</v>
      </c>
      <c r="O12" s="2">
        <v>98722</v>
      </c>
      <c r="P12" s="2">
        <v>66865</v>
      </c>
      <c r="Q12">
        <v>0.37691000000000002</v>
      </c>
    </row>
    <row r="13" spans="1:36">
      <c r="A13" t="s">
        <v>227</v>
      </c>
      <c r="B13" s="2" t="s">
        <v>232</v>
      </c>
      <c r="C13" t="s">
        <v>70</v>
      </c>
      <c r="D13" t="s">
        <v>482</v>
      </c>
      <c r="F13" s="2">
        <v>5091145000</v>
      </c>
      <c r="G13" s="2">
        <v>3019255000</v>
      </c>
      <c r="H13" s="2">
        <v>2.2499999999999999E-2</v>
      </c>
      <c r="I13" s="4">
        <v>0.08</v>
      </c>
      <c r="J13" s="4">
        <v>0.03</v>
      </c>
      <c r="K13" s="2">
        <v>636463000</v>
      </c>
      <c r="L13" s="2">
        <v>11507</v>
      </c>
      <c r="M13" s="3">
        <v>3609</v>
      </c>
      <c r="N13" s="3">
        <v>1968</v>
      </c>
      <c r="O13" s="2">
        <v>55311</v>
      </c>
      <c r="P13" s="2">
        <v>23609</v>
      </c>
      <c r="Q13">
        <v>0.36249999999999999</v>
      </c>
    </row>
    <row r="14" spans="1:36">
      <c r="A14" t="s">
        <v>227</v>
      </c>
      <c r="B14" s="2" t="s">
        <v>483</v>
      </c>
      <c r="C14" t="s">
        <v>75</v>
      </c>
      <c r="D14" t="s">
        <v>484</v>
      </c>
      <c r="F14" s="2">
        <v>5057759000</v>
      </c>
      <c r="G14" s="2">
        <v>4190934000</v>
      </c>
      <c r="H14" s="2">
        <v>0.03</v>
      </c>
      <c r="I14" s="4">
        <v>0.08</v>
      </c>
      <c r="J14" s="4">
        <v>0.03</v>
      </c>
      <c r="K14" s="2">
        <v>272498000</v>
      </c>
      <c r="L14" s="2">
        <v>3914</v>
      </c>
      <c r="M14" s="3">
        <v>11</v>
      </c>
      <c r="N14" s="3" t="s">
        <v>485</v>
      </c>
      <c r="O14" s="2">
        <v>69621</v>
      </c>
      <c r="P14" s="2">
        <v>51848</v>
      </c>
      <c r="Q14">
        <v>8.2199999999999995E-2</v>
      </c>
    </row>
    <row r="15" spans="1:36">
      <c r="A15" t="s">
        <v>163</v>
      </c>
      <c r="B15" s="2" t="s">
        <v>164</v>
      </c>
      <c r="C15" t="s">
        <v>70</v>
      </c>
      <c r="D15" t="s">
        <v>486</v>
      </c>
      <c r="F15" s="2">
        <v>4863325000</v>
      </c>
      <c r="G15" s="2">
        <v>3682959000</v>
      </c>
      <c r="H15" s="2">
        <v>2.5000000000000001E-2</v>
      </c>
      <c r="I15" s="4">
        <v>0.08</v>
      </c>
      <c r="J15" s="4">
        <v>0.03</v>
      </c>
      <c r="K15" s="2">
        <v>444737000</v>
      </c>
      <c r="L15" s="2">
        <v>7427</v>
      </c>
      <c r="M15" s="3">
        <v>1666</v>
      </c>
      <c r="N15" s="3" t="s">
        <v>485</v>
      </c>
      <c r="O15" s="2">
        <v>58421</v>
      </c>
      <c r="P15" s="2">
        <v>37543</v>
      </c>
      <c r="Q15">
        <v>0.46710000000000002</v>
      </c>
    </row>
    <row r="16" spans="1:36">
      <c r="A16" t="s">
        <v>163</v>
      </c>
      <c r="B16" s="2" t="s">
        <v>168</v>
      </c>
      <c r="C16" t="s">
        <v>62</v>
      </c>
      <c r="D16" t="s">
        <v>487</v>
      </c>
      <c r="F16" s="2">
        <v>4723972480</v>
      </c>
      <c r="G16" s="2">
        <v>2160125611</v>
      </c>
      <c r="H16" s="2">
        <v>2.5000000000000001E-2</v>
      </c>
      <c r="I16" s="4">
        <v>0.08</v>
      </c>
      <c r="J16" s="4">
        <v>0.03</v>
      </c>
      <c r="K16" s="2">
        <v>396954743</v>
      </c>
      <c r="L16" s="2">
        <v>4738</v>
      </c>
      <c r="M16" s="3">
        <v>242</v>
      </c>
      <c r="N16" s="3">
        <v>1153</v>
      </c>
      <c r="O16" s="2">
        <v>76254</v>
      </c>
      <c r="P16" s="2">
        <v>50161</v>
      </c>
      <c r="Q16">
        <v>0.22059999999999999</v>
      </c>
    </row>
    <row r="17" spans="1:36">
      <c r="A17" t="s">
        <v>84</v>
      </c>
      <c r="B17" s="2" t="s">
        <v>89</v>
      </c>
      <c r="C17" t="s">
        <v>70</v>
      </c>
      <c r="D17" t="s">
        <v>488</v>
      </c>
      <c r="F17" s="2">
        <v>4487900000</v>
      </c>
      <c r="G17" s="2">
        <v>2849000000</v>
      </c>
      <c r="H17" s="2">
        <v>2.5000000000000001E-2</v>
      </c>
      <c r="I17" s="4">
        <v>0.08</v>
      </c>
      <c r="J17" s="4">
        <v>0.03</v>
      </c>
      <c r="K17" s="2">
        <v>707500000</v>
      </c>
      <c r="L17" s="2">
        <v>10149</v>
      </c>
      <c r="M17" s="3">
        <v>1271</v>
      </c>
      <c r="N17" s="3" t="s">
        <v>485</v>
      </c>
      <c r="O17" s="2">
        <v>69715</v>
      </c>
      <c r="P17" s="2">
        <v>31351</v>
      </c>
      <c r="Q17">
        <v>0.2155</v>
      </c>
    </row>
    <row r="18" spans="1:36">
      <c r="A18" t="s">
        <v>401</v>
      </c>
      <c r="B18" s="2" t="s">
        <v>402</v>
      </c>
      <c r="C18" t="s">
        <v>70</v>
      </c>
      <c r="D18" t="s">
        <v>489</v>
      </c>
      <c r="F18" s="2">
        <v>4411100000</v>
      </c>
      <c r="G18" s="2">
        <v>3040700000</v>
      </c>
      <c r="H18" s="2">
        <v>2.75E-2</v>
      </c>
      <c r="I18" s="4">
        <v>0.08</v>
      </c>
      <c r="J18" s="4">
        <v>0.03</v>
      </c>
      <c r="K18" s="2">
        <v>785600000</v>
      </c>
      <c r="L18" s="2">
        <v>9440</v>
      </c>
      <c r="M18" s="3">
        <v>2812</v>
      </c>
      <c r="N18" s="3" t="s">
        <v>485</v>
      </c>
      <c r="O18" s="2">
        <v>86833</v>
      </c>
      <c r="P18" s="2">
        <v>30473</v>
      </c>
      <c r="Q18">
        <v>0.161</v>
      </c>
    </row>
    <row r="19" spans="1:36">
      <c r="A19" t="s">
        <v>364</v>
      </c>
      <c r="B19" s="2" t="s">
        <v>365</v>
      </c>
      <c r="C19" t="s">
        <v>70</v>
      </c>
      <c r="D19" t="s">
        <v>490</v>
      </c>
      <c r="F19" s="2">
        <v>4401825000</v>
      </c>
      <c r="G19" s="2">
        <v>2677353000</v>
      </c>
      <c r="H19" s="2">
        <v>2.5000000000000001E-2</v>
      </c>
      <c r="I19" s="4">
        <v>0.08</v>
      </c>
      <c r="J19" s="4">
        <v>0.03</v>
      </c>
      <c r="K19" s="2">
        <v>562989000</v>
      </c>
      <c r="L19" s="2">
        <v>7941</v>
      </c>
      <c r="M19" s="3">
        <v>1008</v>
      </c>
      <c r="N19" s="3">
        <v>1110</v>
      </c>
      <c r="O19" s="2">
        <v>70896</v>
      </c>
      <c r="P19" s="2">
        <v>32122</v>
      </c>
      <c r="Q19">
        <v>0.3362</v>
      </c>
    </row>
    <row r="20" spans="1:36">
      <c r="A20" t="s">
        <v>181</v>
      </c>
      <c r="B20" s="2" t="s">
        <v>182</v>
      </c>
      <c r="C20" t="s">
        <v>70</v>
      </c>
      <c r="D20" t="s">
        <v>491</v>
      </c>
      <c r="F20" s="2">
        <v>3727787000</v>
      </c>
      <c r="G20" s="2">
        <v>2300324000</v>
      </c>
      <c r="H20" s="2">
        <v>2.5000000000000001E-2</v>
      </c>
      <c r="I20" s="4">
        <v>0.08</v>
      </c>
      <c r="J20" s="4">
        <v>0.03</v>
      </c>
      <c r="K20" s="2">
        <v>732000000</v>
      </c>
      <c r="L20" s="2">
        <v>9401</v>
      </c>
      <c r="M20" s="3">
        <v>3411</v>
      </c>
      <c r="N20" s="3">
        <v>1254</v>
      </c>
      <c r="O20" s="2">
        <v>78453</v>
      </c>
      <c r="P20" s="2">
        <v>21693</v>
      </c>
      <c r="Q20">
        <v>0.2432</v>
      </c>
    </row>
    <row r="21" spans="1:36">
      <c r="A21" t="s">
        <v>306</v>
      </c>
      <c r="B21" s="2" t="s">
        <v>307</v>
      </c>
      <c r="C21" t="s">
        <v>70</v>
      </c>
      <c r="D21" t="s">
        <v>492</v>
      </c>
      <c r="E21">
        <v>2020</v>
      </c>
      <c r="F21" s="2">
        <v>3368175795</v>
      </c>
      <c r="G21" s="2">
        <v>3203494948</v>
      </c>
      <c r="H21" s="2"/>
      <c r="I21" s="1">
        <v>0.08</v>
      </c>
      <c r="J21" s="1">
        <v>3.8699999999999998E-2</v>
      </c>
      <c r="K21" s="2">
        <v>638020376</v>
      </c>
      <c r="L21" s="2">
        <v>11828</v>
      </c>
      <c r="M21" s="3">
        <v>3450</v>
      </c>
      <c r="N21" s="3" t="s">
        <v>485</v>
      </c>
      <c r="O21" s="2">
        <v>53942</v>
      </c>
      <c r="P21" s="2">
        <v>17974</v>
      </c>
      <c r="Q21" s="6">
        <v>0.37969999999999998</v>
      </c>
      <c r="R21">
        <v>0.481547</v>
      </c>
      <c r="S21">
        <v>65.680000000000007</v>
      </c>
      <c r="T21">
        <v>0.85</v>
      </c>
      <c r="V21" s="1"/>
      <c r="W21" s="1"/>
      <c r="X21" s="1"/>
      <c r="Y21" s="1"/>
      <c r="Z21" s="1"/>
      <c r="AA21" s="1"/>
      <c r="AB21" s="1"/>
      <c r="AC21">
        <v>2017277972</v>
      </c>
      <c r="AE21" s="1"/>
      <c r="AF21">
        <v>2.5000000000000001E-2</v>
      </c>
      <c r="AG21">
        <v>8.7290000000000006E-2</v>
      </c>
      <c r="AH21" s="1"/>
      <c r="AI21" s="1"/>
      <c r="AJ21" s="1"/>
    </row>
    <row r="22" spans="1:36">
      <c r="A22" t="s">
        <v>68</v>
      </c>
      <c r="B22" t="s">
        <v>69</v>
      </c>
      <c r="C22" t="s">
        <v>70</v>
      </c>
      <c r="D22" t="s">
        <v>493</v>
      </c>
      <c r="F22" s="2">
        <v>1893072902</v>
      </c>
      <c r="G22" s="2">
        <v>1314030198</v>
      </c>
      <c r="H22" s="2">
        <v>2.2499999999999999E-2</v>
      </c>
      <c r="I22" s="4">
        <v>0.08</v>
      </c>
      <c r="J22" s="4">
        <v>0.03</v>
      </c>
      <c r="K22" s="2">
        <v>188718811</v>
      </c>
      <c r="L22" s="2">
        <v>3674</v>
      </c>
      <c r="M22" s="3">
        <v>125</v>
      </c>
      <c r="N22" s="3">
        <v>788</v>
      </c>
      <c r="O22" s="2">
        <v>49870</v>
      </c>
      <c r="P22" s="2">
        <v>31176</v>
      </c>
      <c r="Q22">
        <v>0.25840000000000002</v>
      </c>
    </row>
    <row r="23" spans="1:36">
      <c r="A23" t="s">
        <v>68</v>
      </c>
      <c r="B23" t="s">
        <v>79</v>
      </c>
      <c r="C23" t="s">
        <v>80</v>
      </c>
      <c r="D23" t="s">
        <v>494</v>
      </c>
      <c r="F23" s="2">
        <v>1498485371</v>
      </c>
      <c r="G23" s="2">
        <v>1163140000</v>
      </c>
      <c r="H23" s="2"/>
      <c r="I23" s="4">
        <v>0.08</v>
      </c>
      <c r="J23" s="4">
        <v>0.03</v>
      </c>
      <c r="K23" s="2">
        <v>94943480</v>
      </c>
      <c r="L23" s="2">
        <v>1751</v>
      </c>
      <c r="M23" s="3">
        <v>26</v>
      </c>
      <c r="N23" s="3">
        <v>242</v>
      </c>
      <c r="O23" s="2">
        <v>54736</v>
      </c>
      <c r="P23" s="2">
        <v>42641</v>
      </c>
      <c r="Q23">
        <v>0.47420000000000001</v>
      </c>
    </row>
    <row r="24" spans="1:36">
      <c r="A24" t="s">
        <v>68</v>
      </c>
      <c r="B24" t="s">
        <v>74</v>
      </c>
      <c r="C24" t="s">
        <v>75</v>
      </c>
      <c r="D24" t="s">
        <v>495</v>
      </c>
      <c r="F24" s="2">
        <v>979792691</v>
      </c>
      <c r="G24" s="2">
        <v>727344000</v>
      </c>
      <c r="H24" s="2">
        <v>2.2499999999999999E-2</v>
      </c>
      <c r="I24" s="4">
        <v>0.08</v>
      </c>
      <c r="J24" s="4">
        <v>0.03</v>
      </c>
      <c r="K24" s="2">
        <v>51938011</v>
      </c>
      <c r="L24" s="2">
        <v>951</v>
      </c>
      <c r="M24" s="3">
        <v>19</v>
      </c>
      <c r="N24" s="3">
        <v>189</v>
      </c>
      <c r="O24" s="2">
        <v>52396</v>
      </c>
      <c r="P24" s="2">
        <v>45874</v>
      </c>
      <c r="Q24">
        <v>0.36159999999999998</v>
      </c>
    </row>
    <row r="25" spans="1:36">
      <c r="A25" t="s">
        <v>132</v>
      </c>
      <c r="B25" s="2" t="s">
        <v>133</v>
      </c>
      <c r="C25" t="s">
        <v>75</v>
      </c>
      <c r="D25" t="s">
        <v>496</v>
      </c>
      <c r="F25" s="2">
        <v>684387000</v>
      </c>
      <c r="G25" s="2">
        <v>566042000</v>
      </c>
      <c r="H25" s="2">
        <v>0.03</v>
      </c>
      <c r="I25" s="4">
        <v>0.08</v>
      </c>
      <c r="J25" s="4">
        <v>0.03</v>
      </c>
      <c r="K25" s="2">
        <v>77041000</v>
      </c>
      <c r="L25" s="2">
        <v>1047</v>
      </c>
      <c r="M25" s="3">
        <v>15</v>
      </c>
      <c r="N25" s="3" t="s">
        <v>485</v>
      </c>
      <c r="O25" s="2">
        <v>73582</v>
      </c>
      <c r="P25" s="2">
        <v>50293</v>
      </c>
      <c r="Q25">
        <v>0.2104</v>
      </c>
    </row>
    <row r="26" spans="1:36">
      <c r="A26" s="2" t="s">
        <v>497</v>
      </c>
      <c r="B26" s="2" t="s">
        <v>320</v>
      </c>
      <c r="C26" t="s">
        <v>154</v>
      </c>
      <c r="D26" t="s">
        <v>498</v>
      </c>
      <c r="F26" s="2">
        <v>0</v>
      </c>
      <c r="G26" s="2">
        <v>0</v>
      </c>
      <c r="H26" s="2"/>
      <c r="I26" s="4">
        <v>0.08</v>
      </c>
      <c r="J26" s="4">
        <v>0.03</v>
      </c>
      <c r="K26" s="2">
        <v>1264079000</v>
      </c>
      <c r="L26" s="2"/>
      <c r="M26" s="3">
        <v>1934</v>
      </c>
      <c r="N26" s="3">
        <v>768</v>
      </c>
      <c r="O26" s="2">
        <v>0</v>
      </c>
      <c r="P26" s="2">
        <v>0</v>
      </c>
    </row>
    <row r="27" spans="1:36">
      <c r="A27" s="2" t="s">
        <v>497</v>
      </c>
      <c r="B27" s="2" t="s">
        <v>323</v>
      </c>
      <c r="C27" t="s">
        <v>70</v>
      </c>
      <c r="D27" t="s">
        <v>499</v>
      </c>
      <c r="F27" s="2">
        <v>0</v>
      </c>
      <c r="G27" s="2">
        <v>0</v>
      </c>
      <c r="H27" s="2"/>
      <c r="I27" s="4">
        <v>0.08</v>
      </c>
      <c r="J27" s="4">
        <v>0.03</v>
      </c>
      <c r="K27" s="2">
        <v>14459118000</v>
      </c>
      <c r="L27" s="2">
        <v>190572</v>
      </c>
      <c r="M27" s="3">
        <v>21389</v>
      </c>
      <c r="N27" s="3" t="s">
        <v>485</v>
      </c>
      <c r="O27" s="2">
        <v>75872</v>
      </c>
      <c r="P27" s="2">
        <v>29821</v>
      </c>
      <c r="Q27">
        <v>0.15310000000000001</v>
      </c>
    </row>
    <row r="28" spans="1:36">
      <c r="A28" s="2" t="s">
        <v>497</v>
      </c>
      <c r="B28" s="2" t="s">
        <v>327</v>
      </c>
      <c r="C28" t="s">
        <v>75</v>
      </c>
      <c r="D28" t="s">
        <v>500</v>
      </c>
      <c r="F28" s="2">
        <v>0</v>
      </c>
      <c r="G28" s="2">
        <v>0</v>
      </c>
      <c r="H28" s="2"/>
      <c r="I28" s="4">
        <v>0.08</v>
      </c>
      <c r="J28" s="4">
        <v>0.03</v>
      </c>
      <c r="K28" s="2">
        <v>1302872000</v>
      </c>
      <c r="L28" s="2">
        <v>11237</v>
      </c>
      <c r="M28" s="3">
        <v>68</v>
      </c>
      <c r="N28" s="3">
        <v>645</v>
      </c>
      <c r="O28" s="5">
        <v>116000000</v>
      </c>
      <c r="P28" s="2">
        <v>74779</v>
      </c>
    </row>
    <row r="29" spans="1:36">
      <c r="A29" s="2" t="s">
        <v>497</v>
      </c>
      <c r="B29" s="2" t="s">
        <v>331</v>
      </c>
      <c r="C29" t="s">
        <v>80</v>
      </c>
      <c r="D29" t="s">
        <v>501</v>
      </c>
      <c r="F29" s="2">
        <v>0</v>
      </c>
      <c r="G29" s="2">
        <v>0</v>
      </c>
      <c r="H29" s="2"/>
      <c r="I29" s="4">
        <v>0.08</v>
      </c>
      <c r="J29" s="4">
        <v>0.03</v>
      </c>
      <c r="K29" s="2">
        <v>4047772000</v>
      </c>
      <c r="L29" s="2">
        <v>36562</v>
      </c>
      <c r="M29" s="3">
        <v>491</v>
      </c>
      <c r="N29" s="3">
        <v>451</v>
      </c>
      <c r="O29" s="2">
        <v>110858</v>
      </c>
      <c r="P29" s="2">
        <v>51619</v>
      </c>
    </row>
    <row r="30" spans="1:36">
      <c r="A30" t="s">
        <v>140</v>
      </c>
      <c r="B30" s="2" t="s">
        <v>502</v>
      </c>
      <c r="C30" t="s">
        <v>154</v>
      </c>
      <c r="D30" t="s">
        <v>503</v>
      </c>
      <c r="F30" s="2"/>
      <c r="G30" s="2"/>
      <c r="H30" s="2"/>
      <c r="I30" s="4">
        <v>0.08</v>
      </c>
      <c r="J30" s="4">
        <v>0.03</v>
      </c>
      <c r="K30" s="2"/>
      <c r="L30" s="2"/>
      <c r="M30" s="3">
        <v>9926</v>
      </c>
      <c r="N30" s="3">
        <v>3217</v>
      </c>
      <c r="O30" s="2"/>
      <c r="P30" s="2">
        <v>0</v>
      </c>
      <c r="Q30">
        <v>0.77695000000000003</v>
      </c>
    </row>
    <row r="31" spans="1:36">
      <c r="A31" s="2" t="s">
        <v>497</v>
      </c>
      <c r="B31" s="2" t="s">
        <v>504</v>
      </c>
      <c r="C31" t="s">
        <v>154</v>
      </c>
      <c r="D31" t="s">
        <v>505</v>
      </c>
      <c r="F31" s="2"/>
      <c r="G31" s="2"/>
      <c r="H31" s="2"/>
      <c r="I31" s="4">
        <v>0.08</v>
      </c>
      <c r="J31" s="4">
        <v>0.03</v>
      </c>
      <c r="K31" s="2"/>
      <c r="L31" s="2"/>
      <c r="M31" s="3">
        <v>13410</v>
      </c>
      <c r="N31" s="3" t="s">
        <v>485</v>
      </c>
      <c r="O31" s="2"/>
      <c r="P31" s="2">
        <v>0</v>
      </c>
    </row>
    <row r="32" spans="1:36">
      <c r="G32" s="2"/>
      <c r="H32" s="2"/>
      <c r="M32" s="3"/>
      <c r="N32" s="3"/>
    </row>
    <row r="33" spans="13:14">
      <c r="M33" s="3"/>
      <c r="N33" s="3"/>
    </row>
  </sheetData>
  <autoFilter ref="A1:AJ37" xr:uid="{00000000-0001-0000-0000-000000000000}">
    <sortState xmlns:xlrd2="http://schemas.microsoft.com/office/spreadsheetml/2017/richdata2" ref="A2:AJ33">
      <sortCondition descending="1" ref="F1:F37"/>
    </sortState>
  </autoFilter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A330-4B10-4CD4-A43F-31255F7C877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E07D-3C7D-44B7-9395-F631F6FEA230}">
  <sheetPr filterMode="1"/>
  <dimension ref="A1:AS236"/>
  <sheetViews>
    <sheetView zoomScale="160" zoomScaleNormal="160" workbookViewId="0">
      <pane xSplit="1" topLeftCell="N56" activePane="topRight" state="frozen"/>
      <selection pane="topRight" activeCell="I188" sqref="I188"/>
    </sheetView>
  </sheetViews>
  <sheetFormatPr defaultRowHeight="15"/>
  <cols>
    <col min="2" max="2" width="17.42578125" customWidth="1"/>
    <col min="3" max="3" width="8.7109375" style="16" customWidth="1"/>
    <col min="5" max="5" width="22.5703125" customWidth="1"/>
    <col min="7" max="7" width="14.28515625" bestFit="1" customWidth="1"/>
    <col min="8" max="8" width="13.28515625" bestFit="1" customWidth="1"/>
    <col min="12" max="12" width="13.28515625" bestFit="1" customWidth="1"/>
    <col min="25" max="25" width="9.140625" customWidth="1"/>
    <col min="26" max="29" width="9.140625" hidden="1" customWidth="1"/>
    <col min="34" max="36" width="0" hidden="1" customWidth="1"/>
  </cols>
  <sheetData>
    <row r="1" spans="1:45">
      <c r="A1" s="2" t="s">
        <v>0</v>
      </c>
      <c r="B1" s="2" t="s">
        <v>1</v>
      </c>
      <c r="C1" s="1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461</v>
      </c>
      <c r="Z1" s="2" t="s">
        <v>462</v>
      </c>
      <c r="AA1" s="2" t="s">
        <v>463</v>
      </c>
      <c r="AB1" s="2" t="s">
        <v>464</v>
      </c>
      <c r="AC1" s="2" t="s">
        <v>465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467</v>
      </c>
      <c r="AI1" s="2" t="s">
        <v>468</v>
      </c>
      <c r="AJ1" s="2" t="s">
        <v>469</v>
      </c>
      <c r="AK1" s="2" t="s">
        <v>506</v>
      </c>
      <c r="AL1" s="2" t="s">
        <v>507</v>
      </c>
      <c r="AM1" s="2" t="s">
        <v>508</v>
      </c>
      <c r="AN1" s="3" t="s">
        <v>509</v>
      </c>
      <c r="AO1" s="3" t="s">
        <v>510</v>
      </c>
      <c r="AP1" s="3" t="s">
        <v>511</v>
      </c>
      <c r="AQ1" s="3" t="s">
        <v>512</v>
      </c>
      <c r="AR1" s="3" t="s">
        <v>513</v>
      </c>
      <c r="AS1" s="3" t="s">
        <v>514</v>
      </c>
    </row>
    <row r="2" spans="1:45">
      <c r="A2" s="2" t="s">
        <v>59</v>
      </c>
      <c r="B2" t="s">
        <v>60</v>
      </c>
      <c r="C2" s="16" t="s">
        <v>61</v>
      </c>
      <c r="D2" s="2" t="s">
        <v>62</v>
      </c>
      <c r="E2" s="2" t="s">
        <v>63</v>
      </c>
      <c r="F2">
        <v>184</v>
      </c>
      <c r="G2">
        <v>422300</v>
      </c>
      <c r="H2">
        <v>352000</v>
      </c>
      <c r="I2">
        <v>0.03</v>
      </c>
      <c r="J2">
        <v>6.5000000000000002E-2</v>
      </c>
      <c r="K2" s="11">
        <v>0.03</v>
      </c>
      <c r="L2">
        <v>1912.942</v>
      </c>
      <c r="M2">
        <v>14</v>
      </c>
      <c r="O2">
        <v>770</v>
      </c>
      <c r="P2">
        <v>136.63900000000001</v>
      </c>
      <c r="Q2">
        <v>42.079000000000001</v>
      </c>
      <c r="AN2" s="3">
        <v>484</v>
      </c>
      <c r="AO2" s="3">
        <v>102</v>
      </c>
      <c r="AP2" s="3">
        <v>101</v>
      </c>
      <c r="AQ2" s="3"/>
      <c r="AR2" s="3"/>
      <c r="AS2" s="3"/>
    </row>
    <row r="3" spans="1:45">
      <c r="A3" s="2" t="s">
        <v>59</v>
      </c>
      <c r="B3" s="2" t="s">
        <v>60</v>
      </c>
      <c r="C3" s="15" t="s">
        <v>64</v>
      </c>
      <c r="D3" s="2" t="s">
        <v>62</v>
      </c>
      <c r="E3" s="2" t="s">
        <v>65</v>
      </c>
      <c r="F3" s="2">
        <v>184</v>
      </c>
      <c r="G3" s="11"/>
      <c r="H3" s="11"/>
      <c r="I3" s="11">
        <v>0.03</v>
      </c>
      <c r="J3" s="11">
        <v>7.0000000000000007E-2</v>
      </c>
      <c r="K3" s="11">
        <v>0.03</v>
      </c>
      <c r="L3" s="11"/>
      <c r="M3" s="11"/>
      <c r="N3" s="11"/>
      <c r="O3" s="11"/>
      <c r="P3" s="11"/>
      <c r="Q3" s="11"/>
      <c r="R3" s="11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H3" s="2"/>
      <c r="AI3" s="2"/>
      <c r="AJ3" s="2"/>
      <c r="AK3" s="2"/>
      <c r="AL3" s="2"/>
      <c r="AM3" s="2"/>
      <c r="AN3" s="3">
        <v>778</v>
      </c>
      <c r="AO3" s="3">
        <v>189</v>
      </c>
      <c r="AP3" s="3"/>
      <c r="AQ3" s="3"/>
      <c r="AR3" s="3">
        <v>19</v>
      </c>
      <c r="AS3" s="3"/>
    </row>
    <row r="4" spans="1:45">
      <c r="A4" s="2" t="s">
        <v>59</v>
      </c>
      <c r="B4" s="2" t="s">
        <v>60</v>
      </c>
      <c r="C4" s="15" t="s">
        <v>66</v>
      </c>
      <c r="D4" s="2" t="s">
        <v>62</v>
      </c>
      <c r="E4" s="2" t="s">
        <v>67</v>
      </c>
      <c r="F4" s="2">
        <v>184</v>
      </c>
      <c r="G4" s="2">
        <v>436800</v>
      </c>
      <c r="H4" s="2">
        <v>386600</v>
      </c>
      <c r="I4" s="2">
        <v>0.03</v>
      </c>
      <c r="J4" s="11">
        <v>7.0000000000000007E-2</v>
      </c>
      <c r="K4" s="11">
        <v>0.03</v>
      </c>
      <c r="L4" s="2">
        <v>1374.425</v>
      </c>
      <c r="M4" s="2">
        <v>10</v>
      </c>
      <c r="N4" s="3">
        <v>0</v>
      </c>
      <c r="O4" s="2">
        <v>704</v>
      </c>
      <c r="P4" s="2">
        <v>137.44300000000001</v>
      </c>
      <c r="Q4" s="2">
        <v>46.692</v>
      </c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H4" s="2"/>
      <c r="AI4" s="2"/>
      <c r="AJ4" s="2"/>
      <c r="AK4" s="2">
        <v>0</v>
      </c>
      <c r="AL4" s="2">
        <v>714</v>
      </c>
      <c r="AM4" s="2">
        <v>2</v>
      </c>
      <c r="AN4" s="3">
        <v>2967</v>
      </c>
      <c r="AO4" s="3">
        <v>788</v>
      </c>
      <c r="AP4" s="3"/>
      <c r="AQ4" s="3"/>
      <c r="AR4" s="3">
        <v>125</v>
      </c>
      <c r="AS4" s="3">
        <v>759</v>
      </c>
    </row>
    <row r="5" spans="1:45">
      <c r="A5" s="2" t="s">
        <v>68</v>
      </c>
      <c r="B5" t="s">
        <v>69</v>
      </c>
      <c r="C5" s="16" t="s">
        <v>61</v>
      </c>
      <c r="D5" s="2" t="s">
        <v>70</v>
      </c>
      <c r="E5" s="2" t="s">
        <v>71</v>
      </c>
      <c r="F5">
        <v>161</v>
      </c>
      <c r="G5">
        <v>1865937.5279999999</v>
      </c>
      <c r="H5">
        <v>1269985.3799999999</v>
      </c>
      <c r="I5">
        <v>2.2499999999999999E-2</v>
      </c>
      <c r="J5">
        <v>7.2499999999999995E-2</v>
      </c>
      <c r="K5" s="11">
        <v>0.03</v>
      </c>
      <c r="L5">
        <v>188916.06200000001</v>
      </c>
      <c r="M5">
        <v>3830</v>
      </c>
      <c r="O5">
        <v>3912</v>
      </c>
      <c r="P5">
        <v>47.889000000000003</v>
      </c>
      <c r="Q5">
        <v>30.3</v>
      </c>
      <c r="R5">
        <v>0.25519999999999998</v>
      </c>
      <c r="S5" s="6">
        <v>0.53100000000000003</v>
      </c>
      <c r="AG5">
        <v>0.1232</v>
      </c>
      <c r="AN5" s="3">
        <v>1321</v>
      </c>
      <c r="AO5" s="3">
        <v>242</v>
      </c>
      <c r="AP5" s="3"/>
      <c r="AQ5" s="3"/>
      <c r="AR5" s="3">
        <v>26</v>
      </c>
      <c r="AS5" s="3"/>
    </row>
    <row r="6" spans="1:45">
      <c r="A6" s="2" t="s">
        <v>68</v>
      </c>
      <c r="B6" s="2" t="s">
        <v>69</v>
      </c>
      <c r="C6" s="16" t="s">
        <v>64</v>
      </c>
      <c r="D6" s="2" t="s">
        <v>70</v>
      </c>
      <c r="E6" s="2" t="s">
        <v>72</v>
      </c>
      <c r="F6" s="2">
        <v>161</v>
      </c>
      <c r="G6" s="2">
        <v>1965225</v>
      </c>
      <c r="H6" s="2">
        <v>1336954</v>
      </c>
      <c r="I6" s="2">
        <v>2.2499999999999999E-2</v>
      </c>
      <c r="J6" s="11">
        <v>7.0000000000000007E-2</v>
      </c>
      <c r="K6" s="11">
        <v>0.03</v>
      </c>
      <c r="L6" s="2">
        <v>206005.1</v>
      </c>
      <c r="M6" s="2">
        <v>3936</v>
      </c>
      <c r="N6" s="2">
        <v>27</v>
      </c>
      <c r="O6" s="2">
        <v>3986</v>
      </c>
      <c r="P6" s="2">
        <v>50814</v>
      </c>
      <c r="Q6" s="2">
        <v>32.1</v>
      </c>
      <c r="R6" s="2">
        <v>0.25119999999999998</v>
      </c>
      <c r="S6" s="6">
        <v>0.53100000000000003</v>
      </c>
      <c r="AG6">
        <v>0.1201</v>
      </c>
      <c r="AN6" s="3">
        <v>6592</v>
      </c>
      <c r="AO6" s="3"/>
      <c r="AP6" s="3"/>
      <c r="AQ6" s="3"/>
      <c r="AR6" s="3">
        <v>1271</v>
      </c>
      <c r="AS6" s="3"/>
    </row>
    <row r="7" spans="1:45">
      <c r="A7" s="2" t="s">
        <v>68</v>
      </c>
      <c r="B7" s="2" t="s">
        <v>69</v>
      </c>
      <c r="C7" s="15" t="s">
        <v>66</v>
      </c>
      <c r="D7" s="2" t="s">
        <v>70</v>
      </c>
      <c r="E7" s="2" t="s">
        <v>73</v>
      </c>
      <c r="F7" s="2">
        <v>161</v>
      </c>
      <c r="G7" s="2">
        <v>1893073</v>
      </c>
      <c r="H7" s="2">
        <v>1314030</v>
      </c>
      <c r="I7" s="2">
        <v>2.2499999999999999E-2</v>
      </c>
      <c r="J7" s="11">
        <v>7.0000000000000007E-2</v>
      </c>
      <c r="K7" s="11">
        <v>0.03</v>
      </c>
      <c r="L7" s="2">
        <v>188718.8</v>
      </c>
      <c r="M7" s="2">
        <v>3674</v>
      </c>
      <c r="N7" s="3">
        <v>19</v>
      </c>
      <c r="O7" s="2">
        <v>3981</v>
      </c>
      <c r="P7" s="2">
        <v>49.87</v>
      </c>
      <c r="Q7" s="2">
        <v>31.175999999999998</v>
      </c>
      <c r="R7" s="2">
        <v>0.25840000000000002</v>
      </c>
      <c r="S7" s="6">
        <v>0.53100000000000003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>
        <v>0.1236</v>
      </c>
      <c r="AH7" s="2"/>
      <c r="AI7" s="2"/>
      <c r="AJ7" s="2"/>
      <c r="AK7" s="2">
        <v>0.10050000000000001</v>
      </c>
      <c r="AL7" s="2">
        <v>7021</v>
      </c>
      <c r="AM7" s="2">
        <v>2</v>
      </c>
      <c r="AN7" s="3">
        <v>6887</v>
      </c>
      <c r="AO7" s="3">
        <v>1503</v>
      </c>
      <c r="AP7" s="3"/>
      <c r="AQ7" s="3"/>
      <c r="AR7" s="3">
        <v>1024</v>
      </c>
      <c r="AS7" s="3"/>
    </row>
    <row r="8" spans="1:45">
      <c r="A8" s="2" t="s">
        <v>68</v>
      </c>
      <c r="B8" s="2" t="s">
        <v>74</v>
      </c>
      <c r="C8" s="15" t="s">
        <v>66</v>
      </c>
      <c r="D8" s="2" t="s">
        <v>75</v>
      </c>
      <c r="E8" s="2" t="s">
        <v>76</v>
      </c>
      <c r="F8" s="2">
        <v>205</v>
      </c>
      <c r="G8" s="2">
        <v>979792.7</v>
      </c>
      <c r="H8" s="2">
        <v>727344</v>
      </c>
      <c r="I8" s="2">
        <v>2.2499999999999999E-2</v>
      </c>
      <c r="J8" s="2">
        <v>7.4099999999999999E-2</v>
      </c>
      <c r="K8" s="11">
        <v>0.03</v>
      </c>
      <c r="L8" s="2">
        <v>51938.01</v>
      </c>
      <c r="M8" s="2">
        <v>951</v>
      </c>
      <c r="N8" s="3">
        <v>26</v>
      </c>
      <c r="O8" s="2">
        <v>1086</v>
      </c>
      <c r="P8" s="2">
        <v>52.396000000000001</v>
      </c>
      <c r="Q8" s="2">
        <v>45.874000000000002</v>
      </c>
      <c r="R8" s="2">
        <v>0.47420000000000001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>
        <v>0.23630000000000001</v>
      </c>
      <c r="AH8" s="2"/>
      <c r="AI8" s="2"/>
      <c r="AJ8" s="2"/>
      <c r="AK8" s="2">
        <v>-7.5700000000000003E-2</v>
      </c>
      <c r="AL8" s="2">
        <v>2056</v>
      </c>
      <c r="AM8" s="2">
        <v>2</v>
      </c>
      <c r="AN8" s="3">
        <v>3860</v>
      </c>
      <c r="AO8" s="3">
        <v>1523</v>
      </c>
      <c r="AP8" s="3"/>
      <c r="AQ8" s="3"/>
      <c r="AR8" s="3"/>
      <c r="AS8" s="3"/>
    </row>
    <row r="9" spans="1:45">
      <c r="A9" s="2" t="s">
        <v>68</v>
      </c>
      <c r="B9" t="s">
        <v>74</v>
      </c>
      <c r="C9" s="16" t="s">
        <v>61</v>
      </c>
      <c r="D9" s="2" t="s">
        <v>75</v>
      </c>
      <c r="E9" s="2" t="s">
        <v>77</v>
      </c>
      <c r="F9">
        <v>205</v>
      </c>
      <c r="G9">
        <v>852872.82400000002</v>
      </c>
      <c r="H9">
        <v>718133</v>
      </c>
      <c r="I9">
        <v>2.2499999999999999E-2</v>
      </c>
      <c r="J9">
        <v>7.4099999999999999E-2</v>
      </c>
      <c r="K9" s="11">
        <v>0.03</v>
      </c>
      <c r="L9">
        <v>49085.321000000004</v>
      </c>
      <c r="M9">
        <v>928</v>
      </c>
      <c r="N9" s="2">
        <v>12</v>
      </c>
      <c r="O9">
        <v>988</v>
      </c>
      <c r="P9">
        <v>52.518000000000001</v>
      </c>
      <c r="Q9">
        <v>47.468000000000004</v>
      </c>
      <c r="R9">
        <v>0.31830000000000003</v>
      </c>
      <c r="AG9">
        <v>0.24303</v>
      </c>
      <c r="AN9" s="3">
        <v>2313</v>
      </c>
      <c r="AO9" s="3">
        <v>585</v>
      </c>
      <c r="AP9" s="3"/>
      <c r="AQ9" s="3"/>
      <c r="AR9" s="3">
        <v>378</v>
      </c>
      <c r="AS9" s="3">
        <v>246</v>
      </c>
    </row>
    <row r="10" spans="1:45">
      <c r="A10" s="2" t="s">
        <v>68</v>
      </c>
      <c r="B10" s="2" t="s">
        <v>74</v>
      </c>
      <c r="C10" s="16" t="s">
        <v>64</v>
      </c>
      <c r="D10" s="2" t="s">
        <v>75</v>
      </c>
      <c r="E10" s="2" t="s">
        <v>78</v>
      </c>
      <c r="F10" s="2">
        <v>205</v>
      </c>
      <c r="G10" s="2">
        <v>996909.2</v>
      </c>
      <c r="H10" s="2">
        <v>716418</v>
      </c>
      <c r="I10" s="2">
        <v>2.2499999999999999E-2</v>
      </c>
      <c r="J10" s="2">
        <v>7.4099999999999999E-2</v>
      </c>
      <c r="K10" s="11">
        <v>0.03</v>
      </c>
      <c r="L10" s="2">
        <v>51562.2</v>
      </c>
      <c r="M10" s="2">
        <v>888</v>
      </c>
      <c r="N10" s="2">
        <v>940</v>
      </c>
      <c r="O10" s="2">
        <v>1104</v>
      </c>
      <c r="P10" s="2">
        <v>57.85</v>
      </c>
      <c r="Q10" s="2">
        <v>46.811999999999998</v>
      </c>
      <c r="R10" s="2">
        <v>0.53580000000000005</v>
      </c>
      <c r="AG10">
        <v>0.25635999999999998</v>
      </c>
      <c r="AN10" s="3">
        <v>241</v>
      </c>
      <c r="AO10" s="3"/>
      <c r="AP10" s="3"/>
      <c r="AQ10" s="3"/>
      <c r="AR10" s="3">
        <v>67</v>
      </c>
      <c r="AS10" s="3"/>
    </row>
    <row r="11" spans="1:45">
      <c r="A11" s="2" t="s">
        <v>68</v>
      </c>
      <c r="B11" t="s">
        <v>79</v>
      </c>
      <c r="C11" s="16" t="s">
        <v>61</v>
      </c>
      <c r="D11" s="2" t="s">
        <v>80</v>
      </c>
      <c r="E11" s="2" t="s">
        <v>81</v>
      </c>
      <c r="F11">
        <v>173</v>
      </c>
      <c r="G11">
        <v>1297470.523</v>
      </c>
      <c r="H11">
        <v>1130389</v>
      </c>
      <c r="J11">
        <v>7.4099999999999999E-2</v>
      </c>
      <c r="K11" s="11">
        <v>0.03</v>
      </c>
      <c r="L11">
        <v>90948</v>
      </c>
      <c r="M11">
        <v>1746</v>
      </c>
      <c r="O11">
        <v>1546</v>
      </c>
      <c r="P11">
        <v>51.837000000000003</v>
      </c>
      <c r="Q11">
        <v>40.966999999999999</v>
      </c>
      <c r="R11">
        <v>0.23369999999999999</v>
      </c>
      <c r="AG11">
        <v>0.21836</v>
      </c>
      <c r="AN11" s="3">
        <v>10729</v>
      </c>
      <c r="AO11" s="3">
        <v>2100</v>
      </c>
      <c r="AP11" s="3"/>
      <c r="AQ11" s="3"/>
      <c r="AR11" s="3">
        <v>1147</v>
      </c>
      <c r="AS11" s="3">
        <v>11531</v>
      </c>
    </row>
    <row r="12" spans="1:45">
      <c r="A12" s="2" t="s">
        <v>68</v>
      </c>
      <c r="B12" s="2" t="s">
        <v>79</v>
      </c>
      <c r="C12" s="16" t="s">
        <v>64</v>
      </c>
      <c r="D12" s="2" t="s">
        <v>80</v>
      </c>
      <c r="E12" s="2" t="s">
        <v>82</v>
      </c>
      <c r="F12" s="2">
        <v>173</v>
      </c>
      <c r="G12" s="2">
        <v>1546121</v>
      </c>
      <c r="H12" s="2">
        <v>1150481</v>
      </c>
      <c r="I12" s="2">
        <v>2.2499999999999999E-2</v>
      </c>
      <c r="J12" s="2">
        <v>7.4099999999999999E-2</v>
      </c>
      <c r="K12" s="11">
        <v>0.03</v>
      </c>
      <c r="L12" s="2">
        <v>102498.5</v>
      </c>
      <c r="M12" s="2">
        <v>1678</v>
      </c>
      <c r="N12" s="2">
        <v>35</v>
      </c>
      <c r="O12" s="2">
        <v>1689</v>
      </c>
      <c r="P12" s="2">
        <v>61.77</v>
      </c>
      <c r="Q12" s="2">
        <v>43.697000000000003</v>
      </c>
      <c r="R12" s="2">
        <v>0.3931</v>
      </c>
      <c r="AG12">
        <v>0.23522000000000001</v>
      </c>
      <c r="AN12" s="3"/>
      <c r="AO12" s="3"/>
      <c r="AP12" s="3"/>
      <c r="AQ12" s="3"/>
      <c r="AR12" s="3">
        <v>375</v>
      </c>
      <c r="AS12" s="3"/>
    </row>
    <row r="13" spans="1:45">
      <c r="A13" s="2" t="s">
        <v>68</v>
      </c>
      <c r="B13" s="2" t="s">
        <v>79</v>
      </c>
      <c r="C13" s="15" t="s">
        <v>66</v>
      </c>
      <c r="D13" s="2" t="s">
        <v>80</v>
      </c>
      <c r="E13" s="2" t="s">
        <v>83</v>
      </c>
      <c r="F13" s="2">
        <v>173</v>
      </c>
      <c r="G13" s="2">
        <v>1498485</v>
      </c>
      <c r="H13" s="2">
        <v>1163140</v>
      </c>
      <c r="I13" s="11">
        <v>2.5000000000000001E-2</v>
      </c>
      <c r="J13" s="2">
        <v>7.4099999999999999E-2</v>
      </c>
      <c r="K13" s="11">
        <v>0.03</v>
      </c>
      <c r="L13" s="2">
        <v>94943.48</v>
      </c>
      <c r="M13" s="2">
        <v>1751</v>
      </c>
      <c r="N13" s="3">
        <v>884</v>
      </c>
      <c r="O13" s="2">
        <v>1662</v>
      </c>
      <c r="P13" s="2">
        <v>54.735999999999997</v>
      </c>
      <c r="Q13" s="2">
        <v>42.640999999999998</v>
      </c>
      <c r="R13" s="2">
        <v>0.36159999999999998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>
        <v>0.22473000000000001</v>
      </c>
      <c r="AH13" s="2"/>
      <c r="AI13" s="2"/>
      <c r="AJ13" s="2"/>
      <c r="AK13" s="2">
        <v>0.10138</v>
      </c>
      <c r="AL13" s="2">
        <v>3439</v>
      </c>
      <c r="AM13" s="2">
        <v>2</v>
      </c>
      <c r="AN13" s="3">
        <v>151</v>
      </c>
      <c r="AO13" s="3">
        <v>49</v>
      </c>
      <c r="AP13" s="3">
        <v>49</v>
      </c>
      <c r="AQ13" s="3">
        <v>1</v>
      </c>
      <c r="AR13" s="3">
        <v>3</v>
      </c>
      <c r="AS13" s="3"/>
    </row>
    <row r="14" spans="1:45">
      <c r="A14" t="s">
        <v>84</v>
      </c>
      <c r="B14" s="2" t="s">
        <v>85</v>
      </c>
      <c r="C14" s="16" t="s">
        <v>61</v>
      </c>
      <c r="D14" t="s">
        <v>75</v>
      </c>
      <c r="E14" t="s">
        <v>86</v>
      </c>
      <c r="F14" s="2">
        <v>6</v>
      </c>
      <c r="G14" s="2">
        <v>1084534</v>
      </c>
      <c r="H14" s="2">
        <v>954574.8</v>
      </c>
      <c r="I14" s="2">
        <v>2.75E-2</v>
      </c>
      <c r="J14" s="4"/>
      <c r="K14" s="11">
        <v>0.03</v>
      </c>
      <c r="L14" s="2">
        <v>92083.22</v>
      </c>
      <c r="M14" s="2">
        <v>1102</v>
      </c>
      <c r="N14" s="2">
        <v>8</v>
      </c>
      <c r="O14" s="2">
        <v>822</v>
      </c>
      <c r="P14" s="2">
        <v>41.9</v>
      </c>
      <c r="Q14" s="2"/>
      <c r="R14" s="2">
        <v>0.2205</v>
      </c>
      <c r="AG14" s="2">
        <v>0.29520000000000002</v>
      </c>
      <c r="AN14" s="3"/>
      <c r="AO14" s="3"/>
      <c r="AP14" s="3"/>
      <c r="AQ14" s="3"/>
      <c r="AR14" s="3">
        <v>15</v>
      </c>
      <c r="AS14" s="3"/>
    </row>
    <row r="15" spans="1:45">
      <c r="A15" t="s">
        <v>84</v>
      </c>
      <c r="B15" s="2" t="s">
        <v>87</v>
      </c>
      <c r="C15" s="16" t="s">
        <v>61</v>
      </c>
      <c r="D15" t="s">
        <v>80</v>
      </c>
      <c r="E15" t="s">
        <v>88</v>
      </c>
      <c r="F15" s="2">
        <v>7</v>
      </c>
      <c r="G15" s="2">
        <v>1185017</v>
      </c>
      <c r="H15" s="2">
        <v>779484.3</v>
      </c>
      <c r="I15" s="11"/>
      <c r="J15" s="4"/>
      <c r="K15" s="11">
        <v>0.03</v>
      </c>
      <c r="L15" s="2">
        <v>162490.6</v>
      </c>
      <c r="M15" s="2">
        <v>1892</v>
      </c>
      <c r="N15" s="2">
        <v>39</v>
      </c>
      <c r="O15" s="2">
        <v>906</v>
      </c>
      <c r="P15" s="2">
        <v>40.5</v>
      </c>
      <c r="Q15" s="2">
        <v>63.5</v>
      </c>
      <c r="R15" s="2">
        <v>0.21312999999999999</v>
      </c>
      <c r="AG15" s="2">
        <v>0.22291</v>
      </c>
      <c r="AN15" s="3">
        <v>3537</v>
      </c>
      <c r="AO15" s="3">
        <v>1332</v>
      </c>
      <c r="AP15" s="3"/>
      <c r="AQ15" s="3"/>
      <c r="AR15" s="3">
        <v>95</v>
      </c>
      <c r="AS15" s="3"/>
    </row>
    <row r="16" spans="1:45">
      <c r="A16" t="s">
        <v>84</v>
      </c>
      <c r="B16" t="s">
        <v>89</v>
      </c>
      <c r="C16" s="16" t="s">
        <v>61</v>
      </c>
      <c r="D16" t="s">
        <v>70</v>
      </c>
      <c r="E16" s="2" t="s">
        <v>90</v>
      </c>
      <c r="F16">
        <v>12</v>
      </c>
      <c r="G16">
        <v>3989600</v>
      </c>
      <c r="H16">
        <v>2695400</v>
      </c>
      <c r="I16">
        <v>2.75E-2</v>
      </c>
      <c r="J16">
        <v>7.4999999999999997E-2</v>
      </c>
      <c r="K16" s="11">
        <v>0.03</v>
      </c>
      <c r="L16">
        <v>664300</v>
      </c>
      <c r="M16">
        <v>9838</v>
      </c>
      <c r="O16">
        <v>6414</v>
      </c>
      <c r="P16">
        <v>67.527000000000001</v>
      </c>
      <c r="Q16">
        <v>30.605</v>
      </c>
      <c r="R16">
        <v>0.19370000000000001</v>
      </c>
      <c r="S16">
        <v>0.61</v>
      </c>
      <c r="AG16">
        <v>0.17460000000000001</v>
      </c>
      <c r="AN16" s="3">
        <v>21423</v>
      </c>
      <c r="AO16" s="3">
        <v>3997</v>
      </c>
      <c r="AP16" s="3">
        <v>3897</v>
      </c>
      <c r="AQ16" s="3">
        <v>124</v>
      </c>
      <c r="AR16" s="3">
        <v>18734</v>
      </c>
      <c r="AS16" s="3"/>
    </row>
    <row r="17" spans="1:45">
      <c r="A17" s="2" t="s">
        <v>84</v>
      </c>
      <c r="B17" s="2" t="s">
        <v>89</v>
      </c>
      <c r="C17" s="16" t="s">
        <v>64</v>
      </c>
      <c r="D17" s="2" t="s">
        <v>70</v>
      </c>
      <c r="E17" s="2" t="s">
        <v>91</v>
      </c>
      <c r="F17" s="2">
        <v>12</v>
      </c>
      <c r="G17" s="2">
        <v>4701200</v>
      </c>
      <c r="H17" s="2">
        <v>3069200</v>
      </c>
      <c r="I17" s="2">
        <v>2.5000000000000001E-2</v>
      </c>
      <c r="J17" s="2">
        <v>7.0000000000000007E-2</v>
      </c>
      <c r="K17" s="11">
        <v>0.03</v>
      </c>
      <c r="L17" s="2">
        <v>729300</v>
      </c>
      <c r="M17" s="2">
        <v>10138</v>
      </c>
      <c r="N17" s="2">
        <v>1264</v>
      </c>
      <c r="O17" s="2">
        <v>6963</v>
      </c>
      <c r="P17" s="2">
        <v>71.933000000000007</v>
      </c>
      <c r="Q17" s="2">
        <v>32.061999999999998</v>
      </c>
      <c r="R17" s="2">
        <v>0.2102</v>
      </c>
      <c r="S17">
        <v>0.61</v>
      </c>
      <c r="AG17">
        <v>0.1704</v>
      </c>
      <c r="AN17" s="3">
        <v>10078</v>
      </c>
      <c r="AO17" s="3">
        <v>3461</v>
      </c>
      <c r="AP17" s="3">
        <v>3135</v>
      </c>
      <c r="AQ17" s="3"/>
      <c r="AR17" s="3">
        <v>707</v>
      </c>
      <c r="AS17" s="3"/>
    </row>
    <row r="18" spans="1:45">
      <c r="A18" s="2" t="s">
        <v>84</v>
      </c>
      <c r="B18" s="2" t="s">
        <v>89</v>
      </c>
      <c r="C18" s="15" t="s">
        <v>66</v>
      </c>
      <c r="D18" s="2" t="s">
        <v>70</v>
      </c>
      <c r="E18" s="2" t="s">
        <v>92</v>
      </c>
      <c r="F18" s="2">
        <v>12</v>
      </c>
      <c r="G18" s="2">
        <v>4487900</v>
      </c>
      <c r="H18" s="2">
        <v>2849000</v>
      </c>
      <c r="I18" s="2">
        <v>2.5000000000000001E-2</v>
      </c>
      <c r="J18" s="2">
        <v>7.0000000000000007E-2</v>
      </c>
      <c r="K18" s="11">
        <v>0.03</v>
      </c>
      <c r="L18" s="2">
        <v>707500</v>
      </c>
      <c r="M18" s="2">
        <v>10149</v>
      </c>
      <c r="N18" s="3">
        <v>1271</v>
      </c>
      <c r="O18" s="2">
        <v>6703</v>
      </c>
      <c r="P18" s="2">
        <v>69.715000000000003</v>
      </c>
      <c r="Q18" s="2">
        <v>31.350999999999999</v>
      </c>
      <c r="R18" s="2">
        <v>0.2155</v>
      </c>
      <c r="S18">
        <v>0.61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>
        <v>0.1729</v>
      </c>
      <c r="AH18" s="2"/>
      <c r="AI18" s="2"/>
      <c r="AJ18" s="2"/>
      <c r="AK18" s="2">
        <v>0.08</v>
      </c>
      <c r="AL18" s="2">
        <v>18123</v>
      </c>
      <c r="AM18" s="2">
        <v>2</v>
      </c>
      <c r="AN18" s="3">
        <v>24631</v>
      </c>
      <c r="AO18" s="3">
        <v>3217</v>
      </c>
      <c r="AP18" s="3"/>
      <c r="AQ18" s="3"/>
      <c r="AR18" s="3">
        <v>9926</v>
      </c>
      <c r="AS18" s="3">
        <v>20621</v>
      </c>
    </row>
    <row r="19" spans="1:45">
      <c r="A19" s="2" t="s">
        <v>93</v>
      </c>
      <c r="B19" s="2" t="s">
        <v>94</v>
      </c>
      <c r="C19" s="15" t="s">
        <v>66</v>
      </c>
      <c r="D19" s="2" t="s">
        <v>70</v>
      </c>
      <c r="E19" s="2" t="s">
        <v>95</v>
      </c>
      <c r="F19" s="2">
        <v>213</v>
      </c>
      <c r="G19" s="2">
        <v>2515137</v>
      </c>
      <c r="H19" s="2">
        <v>1835157</v>
      </c>
      <c r="I19" s="2">
        <v>2.5499999999999998E-2</v>
      </c>
      <c r="J19" s="2">
        <v>6.7199999999999996E-2</v>
      </c>
      <c r="K19" s="11">
        <v>0.03</v>
      </c>
      <c r="L19" s="2">
        <v>419686</v>
      </c>
      <c r="M19" s="2">
        <v>8204</v>
      </c>
      <c r="N19" s="3">
        <v>0</v>
      </c>
      <c r="O19" s="2">
        <v>9267</v>
      </c>
      <c r="P19" s="2">
        <v>51.155999999999999</v>
      </c>
      <c r="Q19" s="2">
        <v>16.751000000000001</v>
      </c>
      <c r="R19" s="2">
        <v>0.22070000000000001</v>
      </c>
      <c r="S19" s="13">
        <v>0.46300000000000002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>
        <v>7.5200000000000003E-2</v>
      </c>
      <c r="AH19" s="2"/>
      <c r="AI19" s="2"/>
      <c r="AJ19" s="2"/>
      <c r="AK19" s="2">
        <v>4.2599999999999999E-2</v>
      </c>
      <c r="AL19" s="2">
        <v>18495</v>
      </c>
      <c r="AM19" s="2">
        <v>2</v>
      </c>
      <c r="AN19" s="3">
        <v>3416</v>
      </c>
      <c r="AO19" s="3">
        <v>627</v>
      </c>
      <c r="AP19" s="3"/>
      <c r="AQ19" s="3"/>
      <c r="AR19" s="3">
        <v>212</v>
      </c>
      <c r="AS19" s="3"/>
    </row>
    <row r="20" spans="1:45">
      <c r="A20" s="2" t="s">
        <v>93</v>
      </c>
      <c r="B20" t="s">
        <v>94</v>
      </c>
      <c r="C20" s="16" t="s">
        <v>61</v>
      </c>
      <c r="D20" s="2" t="s">
        <v>70</v>
      </c>
      <c r="E20" s="2" t="s">
        <v>96</v>
      </c>
      <c r="F20">
        <v>213</v>
      </c>
      <c r="G20">
        <v>2410614.0580000002</v>
      </c>
      <c r="H20">
        <v>1785356.0330000001</v>
      </c>
      <c r="I20">
        <v>2.6499999999999999E-2</v>
      </c>
      <c r="J20">
        <v>6.93E-2</v>
      </c>
      <c r="K20" s="11">
        <v>0.03</v>
      </c>
      <c r="L20">
        <v>403454.89199999999</v>
      </c>
      <c r="M20">
        <v>8013</v>
      </c>
      <c r="O20">
        <v>9203</v>
      </c>
      <c r="P20">
        <v>50.35</v>
      </c>
      <c r="Q20">
        <v>16.402000000000001</v>
      </c>
      <c r="R20">
        <v>0.2155</v>
      </c>
      <c r="S20" s="13">
        <v>0.46300000000000002</v>
      </c>
      <c r="AG20">
        <v>7.2700000000000001E-2</v>
      </c>
      <c r="AN20" s="3">
        <v>1684</v>
      </c>
      <c r="AO20" s="3">
        <v>267</v>
      </c>
      <c r="AP20" s="3"/>
      <c r="AQ20" s="3">
        <v>122</v>
      </c>
      <c r="AR20" s="3">
        <v>22</v>
      </c>
      <c r="AS20" s="3">
        <v>106</v>
      </c>
    </row>
    <row r="21" spans="1:45">
      <c r="A21" s="2" t="s">
        <v>93</v>
      </c>
      <c r="B21" s="2" t="s">
        <v>94</v>
      </c>
      <c r="C21" s="16" t="s">
        <v>64</v>
      </c>
      <c r="D21" s="2" t="s">
        <v>70</v>
      </c>
      <c r="E21" s="2" t="s">
        <v>97</v>
      </c>
      <c r="F21" s="2">
        <v>213</v>
      </c>
      <c r="G21" s="2">
        <v>2567399</v>
      </c>
      <c r="H21" s="2">
        <v>1881338</v>
      </c>
      <c r="I21" s="2">
        <v>2.5499999999999998E-2</v>
      </c>
      <c r="J21" s="2">
        <v>7.0000000000000007E-2</v>
      </c>
      <c r="K21" s="11">
        <v>0.03</v>
      </c>
      <c r="L21" s="2">
        <v>437242.4</v>
      </c>
      <c r="M21" s="2">
        <v>8204</v>
      </c>
      <c r="N21" s="2">
        <v>1044</v>
      </c>
      <c r="O21" s="2">
        <v>9262</v>
      </c>
      <c r="P21" s="2">
        <v>53.295999999999999</v>
      </c>
      <c r="Q21" s="2">
        <v>17.271999999999998</v>
      </c>
      <c r="R21" s="2">
        <v>0.22559999999999999</v>
      </c>
      <c r="S21" s="13">
        <v>0.46300000000000002</v>
      </c>
      <c r="AG21">
        <v>7.5399999999999995E-2</v>
      </c>
      <c r="AN21" s="3">
        <v>7405</v>
      </c>
      <c r="AO21" s="3"/>
      <c r="AP21" s="3"/>
      <c r="AQ21" s="3"/>
      <c r="AR21" s="3">
        <v>1666</v>
      </c>
      <c r="AS21" s="3"/>
    </row>
    <row r="22" spans="1:45">
      <c r="A22" s="2" t="s">
        <v>93</v>
      </c>
      <c r="B22" t="s">
        <v>98</v>
      </c>
      <c r="C22" s="16" t="s">
        <v>61</v>
      </c>
      <c r="D22" s="2" t="s">
        <v>62</v>
      </c>
      <c r="E22" s="2" t="s">
        <v>99</v>
      </c>
      <c r="F22">
        <v>155</v>
      </c>
      <c r="G22">
        <v>3884617.2390000001</v>
      </c>
      <c r="H22">
        <v>2712246.895</v>
      </c>
      <c r="I22">
        <v>2.75E-2</v>
      </c>
      <c r="J22">
        <v>7.2499999999999995E-2</v>
      </c>
      <c r="K22" s="11">
        <v>0.03</v>
      </c>
      <c r="L22">
        <v>323350.76299999998</v>
      </c>
      <c r="M22">
        <v>4049</v>
      </c>
      <c r="O22">
        <v>6296</v>
      </c>
      <c r="P22">
        <v>75.418999999999997</v>
      </c>
      <c r="Q22">
        <v>36.517000000000003</v>
      </c>
      <c r="R22">
        <v>0.42597000000000002</v>
      </c>
      <c r="S22" s="13">
        <v>0.46300000000000002</v>
      </c>
      <c r="AG22">
        <v>0.21579999999999999</v>
      </c>
      <c r="AN22" s="3">
        <v>3676</v>
      </c>
      <c r="AO22" s="3">
        <v>1153</v>
      </c>
      <c r="AP22" s="3"/>
      <c r="AQ22" s="3">
        <v>83</v>
      </c>
      <c r="AR22" s="3">
        <v>242</v>
      </c>
      <c r="AS22" s="3">
        <v>434</v>
      </c>
    </row>
    <row r="23" spans="1:45">
      <c r="A23" s="2" t="s">
        <v>93</v>
      </c>
      <c r="B23" s="2" t="s">
        <v>98</v>
      </c>
      <c r="C23" s="16" t="s">
        <v>64</v>
      </c>
      <c r="D23" s="2" t="s">
        <v>62</v>
      </c>
      <c r="E23" s="2" t="s">
        <v>100</v>
      </c>
      <c r="F23" s="2">
        <v>155</v>
      </c>
      <c r="G23" s="2">
        <v>4069217</v>
      </c>
      <c r="H23" s="2">
        <v>2811813</v>
      </c>
      <c r="I23" s="2">
        <v>2.75E-2</v>
      </c>
      <c r="J23" s="11">
        <v>7.0000000000000007E-2</v>
      </c>
      <c r="K23" s="11">
        <v>0.03</v>
      </c>
      <c r="L23" s="2">
        <v>326639.90000000002</v>
      </c>
      <c r="M23" s="2">
        <v>3927</v>
      </c>
      <c r="N23" s="2">
        <v>0</v>
      </c>
      <c r="O23" s="2">
        <v>6351</v>
      </c>
      <c r="P23" s="2">
        <v>79.516000000000005</v>
      </c>
      <c r="Q23" s="2">
        <v>38.453000000000003</v>
      </c>
      <c r="R23" s="2"/>
      <c r="S23" s="13">
        <v>0.46300000000000002</v>
      </c>
      <c r="AG23">
        <v>0.21579999999999999</v>
      </c>
      <c r="AN23" s="3">
        <v>8614</v>
      </c>
      <c r="AO23" s="3">
        <v>1254</v>
      </c>
      <c r="AP23" s="3"/>
      <c r="AQ23" s="3"/>
      <c r="AR23" s="3">
        <v>3411</v>
      </c>
      <c r="AS23" s="3">
        <v>2913</v>
      </c>
    </row>
    <row r="24" spans="1:45">
      <c r="A24" s="2" t="s">
        <v>93</v>
      </c>
      <c r="B24" s="2" t="s">
        <v>98</v>
      </c>
      <c r="C24" s="15" t="s">
        <v>66</v>
      </c>
      <c r="D24" s="2" t="s">
        <v>62</v>
      </c>
      <c r="E24" s="2" t="s">
        <v>101</v>
      </c>
      <c r="F24" s="2">
        <v>155</v>
      </c>
      <c r="G24" s="2">
        <v>3966401</v>
      </c>
      <c r="H24" s="2">
        <v>2767719</v>
      </c>
      <c r="I24" s="2">
        <v>2.75E-2</v>
      </c>
      <c r="J24" s="2">
        <v>7.2499999999999995E-2</v>
      </c>
      <c r="K24" s="11">
        <v>0.03</v>
      </c>
      <c r="L24" s="2">
        <v>322382.2</v>
      </c>
      <c r="M24" s="2">
        <v>3983</v>
      </c>
      <c r="N24" s="3">
        <v>1024</v>
      </c>
      <c r="O24" s="2">
        <v>6334</v>
      </c>
      <c r="P24" s="2">
        <v>77.486999999999995</v>
      </c>
      <c r="Q24" s="2">
        <v>37.439</v>
      </c>
      <c r="R24" s="2">
        <v>0.43837999999999999</v>
      </c>
      <c r="S24" s="13">
        <v>0.46300000000000002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>
        <v>0.2155</v>
      </c>
      <c r="AH24" s="2"/>
      <c r="AI24" s="2"/>
      <c r="AJ24" s="2"/>
      <c r="AK24" s="2">
        <v>0.1</v>
      </c>
      <c r="AL24" s="2">
        <v>10317</v>
      </c>
      <c r="AM24" s="2">
        <v>2</v>
      </c>
      <c r="AN24" s="3">
        <v>176</v>
      </c>
      <c r="AO24" s="3"/>
      <c r="AP24" s="3"/>
      <c r="AQ24" s="3"/>
      <c r="AR24" s="3">
        <v>46</v>
      </c>
      <c r="AS24" s="3"/>
    </row>
    <row r="25" spans="1:45">
      <c r="A25" t="s">
        <v>102</v>
      </c>
      <c r="B25" t="s">
        <v>103</v>
      </c>
      <c r="C25" s="16" t="s">
        <v>61</v>
      </c>
      <c r="D25" t="s">
        <v>70</v>
      </c>
      <c r="E25" s="2" t="s">
        <v>104</v>
      </c>
      <c r="F25">
        <v>163</v>
      </c>
      <c r="G25">
        <v>1781193.916</v>
      </c>
      <c r="H25">
        <v>1190267.2609999999</v>
      </c>
      <c r="I25">
        <v>2.75E-2</v>
      </c>
      <c r="J25">
        <v>7.0400000000000004E-2</v>
      </c>
      <c r="K25" s="11">
        <v>0.03</v>
      </c>
      <c r="L25">
        <v>144939.66399999999</v>
      </c>
      <c r="M25">
        <v>2961</v>
      </c>
      <c r="O25">
        <v>3733</v>
      </c>
      <c r="P25">
        <v>48.95</v>
      </c>
      <c r="Q25">
        <v>26.696000000000002</v>
      </c>
      <c r="R25">
        <v>0.34699999999999998</v>
      </c>
      <c r="AG25">
        <v>0.24118999999999999</v>
      </c>
      <c r="AN25" s="3">
        <v>11871</v>
      </c>
      <c r="AO25" s="3"/>
      <c r="AP25" s="3"/>
      <c r="AQ25" s="3"/>
      <c r="AR25" s="3">
        <v>3209</v>
      </c>
      <c r="AS25" s="3"/>
    </row>
    <row r="26" spans="1:45">
      <c r="A26" s="2" t="s">
        <v>102</v>
      </c>
      <c r="B26" s="2" t="s">
        <v>103</v>
      </c>
      <c r="C26" s="16" t="s">
        <v>64</v>
      </c>
      <c r="D26" s="2" t="s">
        <v>70</v>
      </c>
      <c r="E26" s="2" t="s">
        <v>105</v>
      </c>
      <c r="F26" s="2">
        <v>163</v>
      </c>
      <c r="G26" s="2">
        <v>1885381</v>
      </c>
      <c r="H26" s="2">
        <v>1236056</v>
      </c>
      <c r="I26" s="2">
        <v>2.2499999999999999E-2</v>
      </c>
      <c r="J26" s="2">
        <v>7.0000000000000007E-2</v>
      </c>
      <c r="K26" s="11">
        <v>0.03</v>
      </c>
      <c r="L26" s="2">
        <v>151243</v>
      </c>
      <c r="M26" s="2">
        <v>2889</v>
      </c>
      <c r="N26" s="2">
        <v>12</v>
      </c>
      <c r="O26" s="2">
        <v>3828</v>
      </c>
      <c r="P26" s="2">
        <v>52.350999999999999</v>
      </c>
      <c r="Q26" s="2">
        <v>29.292999999999999</v>
      </c>
      <c r="R26" s="2">
        <v>0.36499999999999999</v>
      </c>
      <c r="AG26">
        <v>0.24634</v>
      </c>
      <c r="AN26" s="3">
        <v>8219</v>
      </c>
      <c r="AO26" s="3"/>
      <c r="AP26" s="3"/>
      <c r="AQ26" s="3">
        <v>674</v>
      </c>
      <c r="AR26" s="3">
        <v>977</v>
      </c>
      <c r="AS26" s="3"/>
    </row>
    <row r="27" spans="1:45">
      <c r="A27" s="2" t="s">
        <v>102</v>
      </c>
      <c r="B27" s="2" t="s">
        <v>103</v>
      </c>
      <c r="C27" s="15" t="s">
        <v>66</v>
      </c>
      <c r="D27" s="2" t="s">
        <v>70</v>
      </c>
      <c r="E27" s="2" t="s">
        <v>106</v>
      </c>
      <c r="F27" s="2">
        <v>163</v>
      </c>
      <c r="G27" s="2">
        <v>1838970</v>
      </c>
      <c r="H27" s="2">
        <v>1201491</v>
      </c>
      <c r="I27" s="2">
        <v>2.2499999999999999E-2</v>
      </c>
      <c r="J27" s="2">
        <v>7.0000000000000007E-2</v>
      </c>
      <c r="K27" s="11">
        <v>0.03</v>
      </c>
      <c r="L27" s="2">
        <v>147942.20000000001</v>
      </c>
      <c r="M27" s="2">
        <v>2934</v>
      </c>
      <c r="N27" s="3">
        <v>15</v>
      </c>
      <c r="O27" s="2">
        <v>3817</v>
      </c>
      <c r="P27" s="2">
        <v>50.423000000000002</v>
      </c>
      <c r="Q27" s="2">
        <v>26.943999999999999</v>
      </c>
      <c r="R27" s="2">
        <v>0.36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>
        <v>0.24643000000000001</v>
      </c>
      <c r="AH27" s="2"/>
      <c r="AI27" s="2"/>
      <c r="AJ27" s="2"/>
      <c r="AK27" s="2">
        <v>9.5000000000000001E-2</v>
      </c>
      <c r="AL27" s="2">
        <v>6766</v>
      </c>
      <c r="AM27" s="2">
        <v>2</v>
      </c>
      <c r="AN27" s="3">
        <v>6519</v>
      </c>
      <c r="AO27" s="3">
        <v>709</v>
      </c>
      <c r="AP27" s="3"/>
      <c r="AQ27" s="3"/>
      <c r="AR27" s="3">
        <v>1707</v>
      </c>
      <c r="AS27" s="3"/>
    </row>
    <row r="28" spans="1:45">
      <c r="A28" s="2" t="s">
        <v>107</v>
      </c>
      <c r="B28" t="s">
        <v>108</v>
      </c>
      <c r="C28" s="16" t="s">
        <v>61</v>
      </c>
      <c r="D28" s="2" t="s">
        <v>70</v>
      </c>
      <c r="E28" s="2" t="s">
        <v>109</v>
      </c>
      <c r="F28">
        <v>171</v>
      </c>
      <c r="G28">
        <v>1470251.1270000001</v>
      </c>
      <c r="H28">
        <v>1066035.625</v>
      </c>
      <c r="I28">
        <v>2.5000000000000001E-2</v>
      </c>
      <c r="J28">
        <v>5.57E-2</v>
      </c>
      <c r="K28" s="11">
        <v>0.03</v>
      </c>
      <c r="L28">
        <v>208175.34400000001</v>
      </c>
      <c r="M28">
        <v>3893</v>
      </c>
      <c r="O28">
        <v>3202</v>
      </c>
      <c r="P28">
        <v>53.473999999999997</v>
      </c>
      <c r="Q28">
        <v>26.327999999999999</v>
      </c>
      <c r="R28">
        <v>0.14960000000000001</v>
      </c>
      <c r="AG28">
        <v>9.3899999999999997E-2</v>
      </c>
      <c r="AN28" s="3"/>
      <c r="AO28" s="3"/>
      <c r="AP28" s="3"/>
      <c r="AQ28" s="3"/>
      <c r="AR28" s="3">
        <v>6</v>
      </c>
      <c r="AS28" s="3"/>
    </row>
    <row r="29" spans="1:45">
      <c r="A29" s="2" t="s">
        <v>107</v>
      </c>
      <c r="B29" s="2" t="s">
        <v>108</v>
      </c>
      <c r="C29" s="16" t="s">
        <v>64</v>
      </c>
      <c r="D29" s="2" t="s">
        <v>70</v>
      </c>
      <c r="E29" s="2" t="s">
        <v>110</v>
      </c>
      <c r="F29" s="2">
        <v>171</v>
      </c>
      <c r="G29" s="2">
        <v>1539302</v>
      </c>
      <c r="H29" s="2">
        <v>1057533</v>
      </c>
      <c r="I29" s="2">
        <v>2.5000000000000001E-2</v>
      </c>
      <c r="J29" s="2">
        <v>4.1200000000000001E-2</v>
      </c>
      <c r="K29" s="11">
        <v>0.03</v>
      </c>
      <c r="L29" s="2">
        <v>202026.5</v>
      </c>
      <c r="M29" s="2">
        <v>3624</v>
      </c>
      <c r="N29" s="2">
        <v>712</v>
      </c>
      <c r="O29" s="2">
        <v>3426</v>
      </c>
      <c r="P29" s="2">
        <v>54.72</v>
      </c>
      <c r="Q29" s="2">
        <v>27.527999999999999</v>
      </c>
      <c r="R29" s="2">
        <v>0.16489999999999999</v>
      </c>
      <c r="AG29">
        <v>8.14E-2</v>
      </c>
      <c r="AN29" s="3">
        <v>2549</v>
      </c>
      <c r="AO29" s="3">
        <v>419</v>
      </c>
      <c r="AP29" s="3"/>
      <c r="AQ29" s="3"/>
      <c r="AR29" s="3">
        <v>264</v>
      </c>
      <c r="AS29" s="3"/>
    </row>
    <row r="30" spans="1:45">
      <c r="A30" s="2" t="s">
        <v>107</v>
      </c>
      <c r="B30" s="2" t="s">
        <v>108</v>
      </c>
      <c r="C30" s="15" t="s">
        <v>66</v>
      </c>
      <c r="D30" s="2" t="s">
        <v>70</v>
      </c>
      <c r="E30" s="2" t="s">
        <v>111</v>
      </c>
      <c r="F30" s="2">
        <v>171</v>
      </c>
      <c r="G30" s="2">
        <v>1501381</v>
      </c>
      <c r="H30" s="2">
        <v>1063878</v>
      </c>
      <c r="I30" s="2">
        <v>2.5000000000000001E-2</v>
      </c>
      <c r="J30" s="2">
        <v>4.9700000000000001E-2</v>
      </c>
      <c r="K30" s="11">
        <v>0.03</v>
      </c>
      <c r="L30" s="2">
        <v>200234.2</v>
      </c>
      <c r="M30" s="2">
        <v>3659</v>
      </c>
      <c r="N30" s="3">
        <v>624</v>
      </c>
      <c r="O30" s="2">
        <v>3355</v>
      </c>
      <c r="P30" s="2">
        <v>54.058999999999997</v>
      </c>
      <c r="Q30" s="2">
        <v>27.047999999999998</v>
      </c>
      <c r="R30" s="2">
        <v>0.16059999999999999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>
        <v>8.9599999999999999E-2</v>
      </c>
      <c r="AH30" s="2"/>
      <c r="AI30" s="2"/>
      <c r="AJ30" s="2"/>
      <c r="AK30" s="2">
        <v>7.0000000000000007E-2</v>
      </c>
      <c r="AL30" s="2">
        <v>7392</v>
      </c>
      <c r="AM30" s="2">
        <v>2</v>
      </c>
      <c r="AN30" s="3"/>
      <c r="AO30" s="3"/>
      <c r="AP30" s="3"/>
      <c r="AQ30" s="3"/>
      <c r="AR30" s="3">
        <v>11</v>
      </c>
      <c r="AS30" s="3"/>
    </row>
    <row r="31" spans="1:45">
      <c r="A31" t="s">
        <v>112</v>
      </c>
      <c r="B31" t="s">
        <v>113</v>
      </c>
      <c r="C31" s="16" t="s">
        <v>61</v>
      </c>
      <c r="D31" t="s">
        <v>70</v>
      </c>
      <c r="E31" s="2" t="s">
        <v>114</v>
      </c>
      <c r="F31">
        <v>192</v>
      </c>
      <c r="G31">
        <v>113840.75</v>
      </c>
      <c r="H31">
        <v>95023.653000000006</v>
      </c>
      <c r="I31">
        <v>0.03</v>
      </c>
      <c r="J31">
        <v>7.4999999999999997E-2</v>
      </c>
      <c r="K31" s="11">
        <v>0.03</v>
      </c>
      <c r="L31">
        <v>27247.919000000002</v>
      </c>
      <c r="M31">
        <v>460</v>
      </c>
      <c r="O31">
        <v>226</v>
      </c>
      <c r="P31">
        <v>56.668999999999997</v>
      </c>
      <c r="Q31">
        <v>22.908000000000001</v>
      </c>
      <c r="R31">
        <v>0.129</v>
      </c>
      <c r="AG31">
        <v>0.113</v>
      </c>
      <c r="AN31" s="3">
        <v>8853</v>
      </c>
      <c r="AO31" s="3">
        <v>1968</v>
      </c>
      <c r="AP31" s="3"/>
      <c r="AQ31" s="3"/>
      <c r="AR31" s="3">
        <v>3609</v>
      </c>
      <c r="AS31" s="3">
        <v>3043</v>
      </c>
    </row>
    <row r="32" spans="1:45">
      <c r="A32" s="2" t="s">
        <v>112</v>
      </c>
      <c r="B32" s="2" t="s">
        <v>113</v>
      </c>
      <c r="C32" s="16" t="s">
        <v>64</v>
      </c>
      <c r="D32" s="2" t="s">
        <v>70</v>
      </c>
      <c r="E32" s="2" t="s">
        <v>115</v>
      </c>
      <c r="F32" s="2">
        <v>192</v>
      </c>
      <c r="G32" s="2">
        <v>124726.1</v>
      </c>
      <c r="H32" s="2">
        <v>118296.2</v>
      </c>
      <c r="I32" s="2">
        <v>0.03</v>
      </c>
      <c r="J32" s="2">
        <v>7.4999999999999997E-2</v>
      </c>
      <c r="K32" s="11">
        <v>0.03</v>
      </c>
      <c r="L32" s="2">
        <v>28310.58</v>
      </c>
      <c r="M32" s="2">
        <v>469</v>
      </c>
      <c r="N32" s="2">
        <v>69</v>
      </c>
      <c r="O32" s="2">
        <v>253</v>
      </c>
      <c r="P32" s="2">
        <v>58.463999999999999</v>
      </c>
      <c r="Q32" s="2">
        <v>24.504000000000001</v>
      </c>
      <c r="R32" s="2">
        <v>8.8999999999999996E-2</v>
      </c>
      <c r="AG32">
        <v>0.10199999999999999</v>
      </c>
      <c r="AN32" s="3">
        <v>3512</v>
      </c>
      <c r="AO32" s="3">
        <v>807</v>
      </c>
      <c r="AP32" s="3">
        <v>35728</v>
      </c>
      <c r="AQ32" s="3"/>
      <c r="AR32" s="3">
        <v>43</v>
      </c>
      <c r="AS32" s="3"/>
    </row>
    <row r="33" spans="1:45">
      <c r="A33" s="2" t="s">
        <v>112</v>
      </c>
      <c r="B33" s="2" t="s">
        <v>113</v>
      </c>
      <c r="C33" s="15" t="s">
        <v>66</v>
      </c>
      <c r="D33" s="2" t="s">
        <v>70</v>
      </c>
      <c r="E33" s="2" t="s">
        <v>116</v>
      </c>
      <c r="F33" s="2">
        <v>192</v>
      </c>
      <c r="G33" s="2">
        <v>118862</v>
      </c>
      <c r="H33" s="2">
        <v>108921.1</v>
      </c>
      <c r="I33" s="2">
        <v>0.03</v>
      </c>
      <c r="J33" s="2">
        <v>7.4999999999999997E-2</v>
      </c>
      <c r="K33" s="11">
        <v>0.03</v>
      </c>
      <c r="L33" s="2">
        <v>28170.78</v>
      </c>
      <c r="M33" s="2">
        <v>471</v>
      </c>
      <c r="N33" s="3">
        <v>67</v>
      </c>
      <c r="O33" s="2">
        <v>241</v>
      </c>
      <c r="P33" s="2">
        <v>57.210999999999999</v>
      </c>
      <c r="Q33" s="2">
        <v>23.591999999999999</v>
      </c>
      <c r="R33" s="2">
        <v>0.108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>
        <v>0.114</v>
      </c>
      <c r="AH33" s="2"/>
      <c r="AI33" s="2"/>
      <c r="AJ33" s="2"/>
      <c r="AK33" s="2">
        <v>0.05</v>
      </c>
      <c r="AL33" s="2">
        <v>779</v>
      </c>
      <c r="AM33" s="2">
        <v>2</v>
      </c>
      <c r="AN33" s="3">
        <v>2997</v>
      </c>
      <c r="AO33" s="3"/>
      <c r="AP33" s="3"/>
      <c r="AQ33" s="3"/>
      <c r="AR33" s="3">
        <v>82</v>
      </c>
      <c r="AS33" s="3"/>
    </row>
    <row r="34" spans="1:45">
      <c r="A34" s="2" t="s">
        <v>117</v>
      </c>
      <c r="B34" s="2" t="s">
        <v>118</v>
      </c>
      <c r="C34" s="15" t="s">
        <v>66</v>
      </c>
      <c r="D34" s="2" t="s">
        <v>70</v>
      </c>
      <c r="E34" s="2" t="s">
        <v>119</v>
      </c>
      <c r="F34" s="2">
        <v>148</v>
      </c>
      <c r="G34" s="2">
        <v>11822396</v>
      </c>
      <c r="H34" s="2">
        <v>7476798</v>
      </c>
      <c r="I34" s="11">
        <v>2.5000000000000001E-2</v>
      </c>
      <c r="J34" s="2">
        <v>7.0499999999999993E-2</v>
      </c>
      <c r="K34" s="11">
        <v>0.03</v>
      </c>
      <c r="L34" s="2">
        <v>1646906</v>
      </c>
      <c r="M34" s="2">
        <v>20856</v>
      </c>
      <c r="N34" s="3">
        <v>12678</v>
      </c>
      <c r="O34" s="2">
        <v>14559</v>
      </c>
      <c r="P34" s="2">
        <v>78.965999999999994</v>
      </c>
      <c r="Q34" s="2">
        <v>43.374000000000002</v>
      </c>
      <c r="R34" s="2">
        <v>0.12662999999999999</v>
      </c>
      <c r="S34" s="9">
        <v>44.7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>
        <v>0.23219000000000001</v>
      </c>
      <c r="AH34" s="2"/>
      <c r="AI34" s="2"/>
      <c r="AJ34" s="2"/>
      <c r="AK34" s="2">
        <v>0.14817</v>
      </c>
      <c r="AL34" s="2">
        <v>36562</v>
      </c>
      <c r="AM34" s="2">
        <v>2</v>
      </c>
      <c r="AN34" s="3">
        <v>3860</v>
      </c>
      <c r="AO34" s="3">
        <v>1249</v>
      </c>
      <c r="AP34" s="3"/>
      <c r="AQ34" s="3"/>
      <c r="AR34" s="3">
        <v>196</v>
      </c>
      <c r="AS34" s="3"/>
    </row>
    <row r="35" spans="1:45">
      <c r="A35" s="2" t="s">
        <v>117</v>
      </c>
      <c r="B35" t="s">
        <v>118</v>
      </c>
      <c r="C35" s="16" t="s">
        <v>61</v>
      </c>
      <c r="D35" s="2" t="s">
        <v>70</v>
      </c>
      <c r="E35" s="2" t="s">
        <v>120</v>
      </c>
      <c r="F35">
        <v>148</v>
      </c>
      <c r="G35">
        <v>11208848.99</v>
      </c>
      <c r="H35">
        <v>7069519.6660000002</v>
      </c>
      <c r="J35">
        <v>7.4999999999999997E-2</v>
      </c>
      <c r="K35" s="11">
        <v>0.03</v>
      </c>
      <c r="L35">
        <v>1593575.568</v>
      </c>
      <c r="M35">
        <v>20925</v>
      </c>
      <c r="O35">
        <v>0</v>
      </c>
      <c r="P35">
        <v>76.155000000000001</v>
      </c>
      <c r="S35" s="9">
        <v>44.7</v>
      </c>
      <c r="AN35" s="3"/>
      <c r="AO35" s="3"/>
      <c r="AP35" s="3"/>
      <c r="AQ35" s="3"/>
      <c r="AR35" s="3"/>
      <c r="AS35" s="3"/>
    </row>
    <row r="36" spans="1:45">
      <c r="A36" s="2" t="s">
        <v>117</v>
      </c>
      <c r="B36" s="2" t="s">
        <v>118</v>
      </c>
      <c r="C36" s="16" t="s">
        <v>64</v>
      </c>
      <c r="D36" s="2" t="s">
        <v>70</v>
      </c>
      <c r="E36" s="2" t="s">
        <v>121</v>
      </c>
      <c r="F36" s="2">
        <v>148</v>
      </c>
      <c r="G36" s="2">
        <v>11822396</v>
      </c>
      <c r="H36" s="2">
        <v>7476798</v>
      </c>
      <c r="I36" s="11">
        <v>2.5000000000000001E-2</v>
      </c>
      <c r="J36" s="2">
        <v>7.0499999999999993E-2</v>
      </c>
      <c r="K36" s="11">
        <v>0.03</v>
      </c>
      <c r="L36" s="2">
        <v>1719831</v>
      </c>
      <c r="M36" s="2">
        <v>20856</v>
      </c>
      <c r="N36" s="2">
        <v>12678</v>
      </c>
      <c r="O36" s="2">
        <v>14559</v>
      </c>
      <c r="P36" s="2">
        <v>78.965999999999994</v>
      </c>
      <c r="Q36" s="2">
        <v>43.374000000000002</v>
      </c>
      <c r="R36" s="2">
        <v>0.12662999999999999</v>
      </c>
      <c r="S36" s="9">
        <v>44.7</v>
      </c>
      <c r="AG36">
        <v>0.23219000000000001</v>
      </c>
      <c r="AN36" s="3">
        <v>2519</v>
      </c>
      <c r="AO36" s="3"/>
      <c r="AP36" s="3"/>
      <c r="AQ36" s="3"/>
      <c r="AR36" s="3">
        <v>192</v>
      </c>
      <c r="AS36" s="3">
        <v>334</v>
      </c>
    </row>
    <row r="37" spans="1:45">
      <c r="A37" t="s">
        <v>122</v>
      </c>
      <c r="B37" t="s">
        <v>123</v>
      </c>
      <c r="C37" s="16" t="s">
        <v>61</v>
      </c>
      <c r="D37" t="s">
        <v>70</v>
      </c>
      <c r="E37" s="2" t="s">
        <v>124</v>
      </c>
      <c r="F37">
        <v>187</v>
      </c>
      <c r="G37">
        <v>264696.02399999998</v>
      </c>
      <c r="H37">
        <v>193642.20199999999</v>
      </c>
      <c r="I37">
        <v>2.5999999999999999E-2</v>
      </c>
      <c r="K37" s="11">
        <v>0.03</v>
      </c>
      <c r="L37">
        <v>49012.027999999998</v>
      </c>
      <c r="M37">
        <v>920</v>
      </c>
      <c r="O37">
        <v>713</v>
      </c>
      <c r="P37">
        <v>53.274000000000001</v>
      </c>
      <c r="Q37">
        <v>22.276</v>
      </c>
      <c r="R37">
        <v>0.19700000000000001</v>
      </c>
      <c r="AG37">
        <v>0.124</v>
      </c>
      <c r="AN37" s="3">
        <v>3840</v>
      </c>
      <c r="AO37" s="3">
        <v>228</v>
      </c>
      <c r="AP37" s="3"/>
      <c r="AQ37" s="3"/>
      <c r="AR37" s="3">
        <v>529</v>
      </c>
      <c r="AS37" s="3">
        <v>2631</v>
      </c>
    </row>
    <row r="38" spans="1:45">
      <c r="A38" s="2" t="s">
        <v>122</v>
      </c>
      <c r="B38" s="2" t="s">
        <v>123</v>
      </c>
      <c r="C38" s="16" t="s">
        <v>64</v>
      </c>
      <c r="D38" s="2" t="s">
        <v>70</v>
      </c>
      <c r="E38" s="2" t="s">
        <v>125</v>
      </c>
      <c r="F38" s="2">
        <v>187</v>
      </c>
      <c r="G38" s="2">
        <v>293171.20000000001</v>
      </c>
      <c r="H38" s="2">
        <v>209861.7</v>
      </c>
      <c r="I38" s="2">
        <v>2.5999999999999999E-2</v>
      </c>
      <c r="J38" s="11">
        <v>7.0000000000000007E-2</v>
      </c>
      <c r="K38" s="11">
        <v>0.03</v>
      </c>
      <c r="L38" s="2">
        <v>50603.5</v>
      </c>
      <c r="M38" s="2">
        <v>880</v>
      </c>
      <c r="N38" s="2">
        <v>393</v>
      </c>
      <c r="O38" s="2">
        <v>767</v>
      </c>
      <c r="P38" s="2">
        <v>57.503999999999998</v>
      </c>
      <c r="Q38" s="2">
        <v>22.603999999999999</v>
      </c>
      <c r="R38" s="2">
        <v>0.219</v>
      </c>
      <c r="AG38">
        <v>0.126</v>
      </c>
      <c r="AN38" s="3">
        <v>668</v>
      </c>
      <c r="AO38" s="3">
        <v>177</v>
      </c>
      <c r="AP38" s="3"/>
      <c r="AQ38" s="3"/>
      <c r="AR38" s="3"/>
      <c r="AS38" s="3"/>
    </row>
    <row r="39" spans="1:45">
      <c r="A39" s="2" t="s">
        <v>122</v>
      </c>
      <c r="B39" s="2" t="s">
        <v>123</v>
      </c>
      <c r="C39" s="15" t="s">
        <v>66</v>
      </c>
      <c r="D39" s="2" t="s">
        <v>70</v>
      </c>
      <c r="E39" s="2" t="s">
        <v>126</v>
      </c>
      <c r="F39" s="2">
        <v>187</v>
      </c>
      <c r="G39" s="2">
        <v>278151.2</v>
      </c>
      <c r="H39" s="2">
        <v>202509.8</v>
      </c>
      <c r="I39" s="2">
        <v>2.5999999999999999E-2</v>
      </c>
      <c r="J39" s="11">
        <v>7.0000000000000007E-2</v>
      </c>
      <c r="K39" s="11">
        <v>0.03</v>
      </c>
      <c r="L39" s="2">
        <v>49218.44</v>
      </c>
      <c r="M39" s="2">
        <v>913</v>
      </c>
      <c r="N39" s="3">
        <v>375</v>
      </c>
      <c r="O39" s="2">
        <v>766</v>
      </c>
      <c r="P39" s="2">
        <v>53.908000000000001</v>
      </c>
      <c r="Q39" s="2">
        <v>22.364000000000001</v>
      </c>
      <c r="R39" s="2">
        <v>0.20799999999999999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>
        <v>0.126</v>
      </c>
      <c r="AH39" s="2"/>
      <c r="AI39" s="2"/>
      <c r="AJ39" s="2"/>
      <c r="AK39" s="2">
        <v>5.8000000000000003E-2</v>
      </c>
      <c r="AL39" s="2">
        <v>2054</v>
      </c>
      <c r="AM39" s="2">
        <v>2</v>
      </c>
      <c r="AN39" s="3">
        <v>276</v>
      </c>
      <c r="AO39" s="3"/>
      <c r="AP39" s="3"/>
      <c r="AQ39" s="3"/>
      <c r="AR39" s="3"/>
      <c r="AS39" s="3"/>
    </row>
    <row r="40" spans="1:45">
      <c r="A40" s="2" t="s">
        <v>127</v>
      </c>
      <c r="B40" t="s">
        <v>128</v>
      </c>
      <c r="C40" s="16" t="s">
        <v>61</v>
      </c>
      <c r="D40" s="2" t="s">
        <v>75</v>
      </c>
      <c r="E40" s="2" t="s">
        <v>129</v>
      </c>
      <c r="F40">
        <v>189</v>
      </c>
      <c r="G40">
        <v>190005.43799999999</v>
      </c>
      <c r="H40">
        <v>20062.366999999998</v>
      </c>
      <c r="I40">
        <v>2.75E-2</v>
      </c>
      <c r="J40">
        <v>4.385E-2</v>
      </c>
      <c r="K40" s="11">
        <v>0.03</v>
      </c>
      <c r="L40">
        <v>6875.6620000000003</v>
      </c>
      <c r="M40">
        <v>109</v>
      </c>
      <c r="O40">
        <v>242</v>
      </c>
      <c r="P40">
        <v>60.718000000000004</v>
      </c>
      <c r="Q40">
        <v>27.867000000000001</v>
      </c>
      <c r="R40">
        <v>1.8614200000000001</v>
      </c>
      <c r="AG40">
        <v>0.47497</v>
      </c>
      <c r="AN40" s="3">
        <v>15165</v>
      </c>
      <c r="AO40" s="3">
        <v>3981</v>
      </c>
      <c r="AP40" s="3"/>
      <c r="AQ40" s="3"/>
      <c r="AR40" s="3">
        <v>8588</v>
      </c>
      <c r="AS40" s="3"/>
    </row>
    <row r="41" spans="1:45">
      <c r="A41" s="2" t="s">
        <v>127</v>
      </c>
      <c r="B41" s="2" t="s">
        <v>128</v>
      </c>
      <c r="C41" s="16" t="s">
        <v>64</v>
      </c>
      <c r="D41" s="2" t="s">
        <v>75</v>
      </c>
      <c r="E41" s="2" t="s">
        <v>130</v>
      </c>
      <c r="F41" s="2">
        <v>189</v>
      </c>
      <c r="G41" s="2">
        <v>197719.8</v>
      </c>
      <c r="H41" s="2">
        <v>24185.66</v>
      </c>
      <c r="I41" s="2">
        <v>2.5000000000000001E-2</v>
      </c>
      <c r="J41" s="2">
        <v>3.3399999999999999E-2</v>
      </c>
      <c r="K41" s="11">
        <v>0.03</v>
      </c>
      <c r="L41" s="2">
        <v>6140.1769999999997</v>
      </c>
      <c r="M41" s="2">
        <v>94</v>
      </c>
      <c r="N41" s="2">
        <v>2</v>
      </c>
      <c r="O41" s="2">
        <v>246</v>
      </c>
      <c r="P41" s="2">
        <v>69769</v>
      </c>
      <c r="Q41" s="2">
        <v>34.445</v>
      </c>
      <c r="R41" s="2">
        <v>2.0968100000000001</v>
      </c>
      <c r="AG41">
        <v>0.53410000000000002</v>
      </c>
      <c r="AN41" s="3">
        <v>8811</v>
      </c>
      <c r="AO41" s="3">
        <v>2465</v>
      </c>
      <c r="AP41" s="3"/>
      <c r="AQ41" s="3"/>
      <c r="AR41" s="3">
        <v>523</v>
      </c>
      <c r="AS41" s="3"/>
    </row>
    <row r="42" spans="1:45">
      <c r="A42" s="2" t="s">
        <v>127</v>
      </c>
      <c r="B42" s="2" t="s">
        <v>128</v>
      </c>
      <c r="C42" s="15" t="s">
        <v>66</v>
      </c>
      <c r="D42" s="2" t="s">
        <v>75</v>
      </c>
      <c r="E42" s="2" t="s">
        <v>131</v>
      </c>
      <c r="F42" s="2">
        <v>189</v>
      </c>
      <c r="G42" s="2">
        <v>196193.6</v>
      </c>
      <c r="H42" s="2">
        <v>22233.77</v>
      </c>
      <c r="I42" s="2">
        <v>2.75E-2</v>
      </c>
      <c r="J42" s="2">
        <v>3.7100000000000001E-2</v>
      </c>
      <c r="K42" s="11">
        <v>0.03</v>
      </c>
      <c r="L42" s="2">
        <v>6419.7370000000001</v>
      </c>
      <c r="M42" s="2">
        <v>103</v>
      </c>
      <c r="N42" s="3">
        <v>3</v>
      </c>
      <c r="O42" s="2">
        <v>241</v>
      </c>
      <c r="P42" s="2">
        <v>62.113</v>
      </c>
      <c r="Q42" s="2">
        <v>33.308</v>
      </c>
      <c r="R42" s="2">
        <v>2.0415899999999998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>
        <v>0.49271999999999999</v>
      </c>
      <c r="AH42" s="2"/>
      <c r="AI42" s="2"/>
      <c r="AJ42" s="2"/>
      <c r="AK42" s="2">
        <v>7.4980000000000005E-2</v>
      </c>
      <c r="AL42" s="2">
        <v>347</v>
      </c>
      <c r="AM42" s="2">
        <v>2</v>
      </c>
      <c r="AN42" s="3">
        <v>7355</v>
      </c>
      <c r="AO42" s="3">
        <v>1960</v>
      </c>
      <c r="AP42" s="3"/>
      <c r="AQ42" s="3"/>
      <c r="AR42" s="3">
        <v>1663</v>
      </c>
      <c r="AS42" s="3"/>
    </row>
    <row r="43" spans="1:45">
      <c r="A43" s="2" t="s">
        <v>132</v>
      </c>
      <c r="B43" t="s">
        <v>133</v>
      </c>
      <c r="C43" s="16" t="s">
        <v>61</v>
      </c>
      <c r="D43" s="2" t="s">
        <v>75</v>
      </c>
      <c r="E43" s="2" t="s">
        <v>134</v>
      </c>
      <c r="F43">
        <v>182</v>
      </c>
      <c r="G43">
        <v>626518</v>
      </c>
      <c r="H43">
        <v>548685</v>
      </c>
      <c r="I43">
        <v>0.03</v>
      </c>
      <c r="J43">
        <v>6.2100000000000002E-2</v>
      </c>
      <c r="K43" s="11">
        <v>0.03</v>
      </c>
      <c r="L43">
        <v>71781</v>
      </c>
      <c r="M43">
        <v>1058</v>
      </c>
      <c r="O43">
        <v>697</v>
      </c>
      <c r="P43">
        <v>67.846000000000004</v>
      </c>
      <c r="Q43">
        <v>48.162999999999997</v>
      </c>
      <c r="R43">
        <v>0.17810000000000001</v>
      </c>
      <c r="AG43">
        <v>0.2366</v>
      </c>
      <c r="AN43" s="3">
        <v>955</v>
      </c>
      <c r="AO43" s="3"/>
      <c r="AP43" s="3"/>
      <c r="AQ43" s="3"/>
      <c r="AR43" s="3"/>
      <c r="AS43" s="3"/>
    </row>
    <row r="44" spans="1:45">
      <c r="A44" s="2" t="s">
        <v>132</v>
      </c>
      <c r="B44" s="2" t="s">
        <v>133</v>
      </c>
      <c r="C44" s="16" t="s">
        <v>64</v>
      </c>
      <c r="D44" s="2" t="s">
        <v>75</v>
      </c>
      <c r="E44" s="2" t="s">
        <v>135</v>
      </c>
      <c r="F44" s="2">
        <v>182</v>
      </c>
      <c r="G44" s="2">
        <v>758667</v>
      </c>
      <c r="H44" s="2">
        <v>580144</v>
      </c>
      <c r="I44" s="2">
        <v>2.5000000000000001E-2</v>
      </c>
      <c r="J44" s="2">
        <v>3.3799999999999997E-2</v>
      </c>
      <c r="K44" s="11">
        <v>0.03</v>
      </c>
      <c r="L44" s="2">
        <v>82533</v>
      </c>
      <c r="M44" s="2">
        <v>1067</v>
      </c>
      <c r="N44" s="2">
        <v>16</v>
      </c>
      <c r="O44" s="2">
        <v>765</v>
      </c>
      <c r="P44" s="2">
        <v>77.349999999999994</v>
      </c>
      <c r="Q44" s="2">
        <v>51.109000000000002</v>
      </c>
      <c r="R44" s="2">
        <v>0.28910000000000002</v>
      </c>
      <c r="AG44">
        <v>0.26519999999999999</v>
      </c>
      <c r="AN44" s="3">
        <v>10904</v>
      </c>
      <c r="AO44" s="3">
        <v>2091</v>
      </c>
      <c r="AP44" s="3"/>
      <c r="AQ44" s="3"/>
      <c r="AR44" s="3">
        <v>3028</v>
      </c>
      <c r="AS44" s="3">
        <v>1540</v>
      </c>
    </row>
    <row r="45" spans="1:45">
      <c r="A45" s="2" t="s">
        <v>132</v>
      </c>
      <c r="B45" s="2" t="s">
        <v>133</v>
      </c>
      <c r="C45" s="15" t="s">
        <v>66</v>
      </c>
      <c r="D45" s="2" t="s">
        <v>75</v>
      </c>
      <c r="E45" s="2" t="s">
        <v>136</v>
      </c>
      <c r="F45" s="2">
        <v>182</v>
      </c>
      <c r="G45" s="2">
        <v>684387</v>
      </c>
      <c r="H45" s="2">
        <v>566042</v>
      </c>
      <c r="I45" s="2">
        <v>0.03</v>
      </c>
      <c r="J45" s="2">
        <v>5.3699999999999998E-2</v>
      </c>
      <c r="K45" s="11">
        <v>0.03</v>
      </c>
      <c r="L45" s="2">
        <v>77041</v>
      </c>
      <c r="M45" s="2">
        <v>1047</v>
      </c>
      <c r="N45" s="3">
        <v>15</v>
      </c>
      <c r="O45" s="2">
        <v>750</v>
      </c>
      <c r="P45" s="2">
        <v>73.581999999999994</v>
      </c>
      <c r="Q45" s="2">
        <v>50.292999999999999</v>
      </c>
      <c r="R45" s="2">
        <v>0.2104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>
        <v>0.24060000000000001</v>
      </c>
      <c r="AH45" s="2"/>
      <c r="AI45" s="2"/>
      <c r="AJ45" s="2"/>
      <c r="AK45" s="2">
        <v>0.1265</v>
      </c>
      <c r="AL45" s="2">
        <v>1812</v>
      </c>
      <c r="AM45" s="2">
        <v>2</v>
      </c>
      <c r="AN45" s="3"/>
      <c r="AO45" s="3"/>
      <c r="AP45" s="3"/>
      <c r="AQ45" s="3"/>
      <c r="AR45" s="3">
        <v>68305</v>
      </c>
      <c r="AS45" s="3">
        <v>130051</v>
      </c>
    </row>
    <row r="46" spans="1:45">
      <c r="A46" t="s">
        <v>137</v>
      </c>
      <c r="B46" s="2" t="s">
        <v>138</v>
      </c>
      <c r="C46" s="16" t="s">
        <v>61</v>
      </c>
      <c r="D46" t="s">
        <v>62</v>
      </c>
      <c r="E46" t="s">
        <v>139</v>
      </c>
      <c r="F46" s="2">
        <v>10</v>
      </c>
      <c r="G46" s="2">
        <v>408278.8</v>
      </c>
      <c r="H46" s="2">
        <v>258596.8</v>
      </c>
      <c r="I46" s="2">
        <v>2.75E-2</v>
      </c>
      <c r="J46" s="4"/>
      <c r="K46" s="11">
        <v>0.03</v>
      </c>
      <c r="L46" s="2">
        <v>38432.300000000003</v>
      </c>
      <c r="M46" s="2">
        <v>858</v>
      </c>
      <c r="N46" s="2">
        <v>27</v>
      </c>
      <c r="O46" s="2">
        <v>788</v>
      </c>
      <c r="P46" s="2"/>
      <c r="Q46" s="2"/>
      <c r="R46" s="2">
        <v>0.35859999999999997</v>
      </c>
      <c r="AG46" s="2">
        <v>0.1673</v>
      </c>
      <c r="AN46" s="3"/>
      <c r="AO46" s="3"/>
      <c r="AP46" s="3"/>
      <c r="AQ46" s="3"/>
      <c r="AR46" s="3">
        <v>8638</v>
      </c>
      <c r="AS46" s="3"/>
    </row>
    <row r="47" spans="1:45">
      <c r="A47" s="2" t="s">
        <v>140</v>
      </c>
      <c r="B47" s="2" t="s">
        <v>141</v>
      </c>
      <c r="C47" s="15" t="s">
        <v>66</v>
      </c>
      <c r="D47" s="2" t="s">
        <v>75</v>
      </c>
      <c r="E47" s="2" t="s">
        <v>142</v>
      </c>
      <c r="F47" s="2">
        <v>206</v>
      </c>
      <c r="G47" s="2">
        <v>6256060</v>
      </c>
      <c r="H47" s="2">
        <v>1137089</v>
      </c>
      <c r="I47" s="2">
        <v>2.2499999999999999E-2</v>
      </c>
      <c r="J47" s="11">
        <v>7.0000000000000007E-2</v>
      </c>
      <c r="K47" s="11">
        <v>0.03</v>
      </c>
      <c r="L47" s="2">
        <v>457082.3</v>
      </c>
      <c r="M47" s="2">
        <v>4630</v>
      </c>
      <c r="N47" s="3">
        <v>30547</v>
      </c>
      <c r="O47" s="2">
        <v>5128</v>
      </c>
      <c r="P47" s="2">
        <v>98.721999999999994</v>
      </c>
      <c r="Q47" s="2">
        <v>66.864999999999995</v>
      </c>
      <c r="R47" s="2">
        <v>0.77695000000000003</v>
      </c>
      <c r="S47" s="2">
        <v>0.71344305035033406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>
        <v>0.2165</v>
      </c>
      <c r="AH47" s="2"/>
      <c r="AI47" s="2"/>
      <c r="AJ47" s="2"/>
      <c r="AK47" s="2">
        <v>9.1550000000000006E-2</v>
      </c>
      <c r="AL47" s="2">
        <v>9853</v>
      </c>
      <c r="AM47" s="2">
        <v>2</v>
      </c>
      <c r="AN47" s="3"/>
      <c r="AO47" s="3"/>
      <c r="AP47" s="3"/>
      <c r="AQ47" s="3"/>
      <c r="AR47" s="3">
        <v>3450</v>
      </c>
      <c r="AS47" s="3"/>
    </row>
    <row r="48" spans="1:45">
      <c r="A48" s="2" t="s">
        <v>140</v>
      </c>
      <c r="B48" t="s">
        <v>141</v>
      </c>
      <c r="C48" s="16" t="s">
        <v>61</v>
      </c>
      <c r="D48" s="2" t="s">
        <v>75</v>
      </c>
      <c r="E48" s="2" t="s">
        <v>143</v>
      </c>
      <c r="F48">
        <v>206</v>
      </c>
      <c r="G48">
        <v>6155919.2039999999</v>
      </c>
      <c r="H48">
        <v>1130369.929</v>
      </c>
      <c r="I48">
        <v>2.2499999999999999E-2</v>
      </c>
      <c r="K48" s="11">
        <v>0.03</v>
      </c>
      <c r="L48">
        <v>456969.30099999998</v>
      </c>
      <c r="M48">
        <v>4487</v>
      </c>
      <c r="N48" s="2">
        <v>92</v>
      </c>
      <c r="O48">
        <v>5022</v>
      </c>
      <c r="P48">
        <v>98.242999999999995</v>
      </c>
      <c r="Q48">
        <v>63.838000000000001</v>
      </c>
      <c r="R48">
        <v>0.53613999999999995</v>
      </c>
      <c r="S48">
        <v>0.71344305035033406</v>
      </c>
      <c r="AG48">
        <v>0.216</v>
      </c>
      <c r="AN48" s="3"/>
      <c r="AO48" s="3"/>
      <c r="AP48" s="3"/>
      <c r="AQ48" s="3"/>
      <c r="AR48" s="3">
        <v>298</v>
      </c>
      <c r="AS48" s="3"/>
    </row>
    <row r="49" spans="1:45">
      <c r="A49" s="2" t="s">
        <v>140</v>
      </c>
      <c r="B49" s="2" t="s">
        <v>141</v>
      </c>
      <c r="C49" s="16" t="s">
        <v>64</v>
      </c>
      <c r="D49" s="2" t="s">
        <v>75</v>
      </c>
      <c r="E49" s="2" t="s">
        <v>144</v>
      </c>
      <c r="F49" s="2">
        <v>206</v>
      </c>
      <c r="G49" s="2">
        <v>6570504</v>
      </c>
      <c r="H49" s="2">
        <v>1275913</v>
      </c>
      <c r="I49" s="2">
        <v>2.2499999999999999E-2</v>
      </c>
      <c r="J49" s="11">
        <v>7.0000000000000007E-2</v>
      </c>
      <c r="K49" s="11">
        <v>0.03</v>
      </c>
      <c r="L49" s="2">
        <v>500367.9</v>
      </c>
      <c r="M49" s="2">
        <v>4697</v>
      </c>
      <c r="N49" s="2">
        <v>124</v>
      </c>
      <c r="O49" s="2">
        <v>5221</v>
      </c>
      <c r="P49" s="2">
        <v>106.529</v>
      </c>
      <c r="Q49" s="2">
        <v>69.495000000000005</v>
      </c>
      <c r="R49" s="2">
        <v>0.75034999999999996</v>
      </c>
      <c r="S49">
        <v>0.71344305035033406</v>
      </c>
      <c r="AG49">
        <v>0.1961</v>
      </c>
      <c r="AN49" s="3">
        <v>154116</v>
      </c>
      <c r="AO49" s="3"/>
      <c r="AP49" s="3"/>
      <c r="AQ49" s="3"/>
      <c r="AR49" s="3">
        <v>21389</v>
      </c>
      <c r="AS49" s="3">
        <v>28483</v>
      </c>
    </row>
    <row r="50" spans="1:45">
      <c r="A50" s="2" t="s">
        <v>140</v>
      </c>
      <c r="B50" s="2" t="s">
        <v>145</v>
      </c>
      <c r="C50" s="15" t="s">
        <v>66</v>
      </c>
      <c r="D50" s="2" t="s">
        <v>70</v>
      </c>
      <c r="E50" s="2" t="s">
        <v>146</v>
      </c>
      <c r="F50" s="2">
        <v>145</v>
      </c>
      <c r="G50" s="2">
        <v>17260356</v>
      </c>
      <c r="H50" s="2">
        <v>4012852</v>
      </c>
      <c r="I50" s="2">
        <v>2.5000000000000001E-2</v>
      </c>
      <c r="J50" s="2">
        <v>7.0000000000000007E-2</v>
      </c>
      <c r="K50" s="11">
        <v>0.03</v>
      </c>
      <c r="L50" s="2">
        <v>1802790</v>
      </c>
      <c r="M50" s="2">
        <v>32162</v>
      </c>
      <c r="N50" s="3">
        <v>18734</v>
      </c>
      <c r="O50" s="2">
        <v>25544</v>
      </c>
      <c r="P50" s="2">
        <v>56.052999999999997</v>
      </c>
      <c r="Q50" s="2">
        <v>36.210999999999999</v>
      </c>
      <c r="R50" s="2">
        <v>0.62839999999999996</v>
      </c>
      <c r="S50" s="2">
        <v>0.71344305035033406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>
        <v>0.13159999999999999</v>
      </c>
      <c r="AH50" s="2"/>
      <c r="AI50" s="2"/>
      <c r="AJ50" s="2"/>
      <c r="AK50" s="2">
        <v>8.3400000000000002E-2</v>
      </c>
      <c r="AL50" s="2">
        <v>76440</v>
      </c>
      <c r="AM50" s="2">
        <v>2</v>
      </c>
      <c r="AN50" s="3">
        <v>4993</v>
      </c>
      <c r="AO50" s="3">
        <v>645</v>
      </c>
      <c r="AP50" s="3"/>
      <c r="AQ50" s="3">
        <v>354</v>
      </c>
      <c r="AR50" s="3">
        <v>68</v>
      </c>
      <c r="AS50" s="3">
        <v>35</v>
      </c>
    </row>
    <row r="51" spans="1:45">
      <c r="A51" s="2" t="s">
        <v>140</v>
      </c>
      <c r="B51" t="s">
        <v>145</v>
      </c>
      <c r="C51" s="16" t="s">
        <v>61</v>
      </c>
      <c r="D51" s="2" t="s">
        <v>70</v>
      </c>
      <c r="E51" s="2" t="s">
        <v>147</v>
      </c>
      <c r="F51">
        <v>145</v>
      </c>
      <c r="G51">
        <v>16808614.316</v>
      </c>
      <c r="H51">
        <v>4195644.1720000003</v>
      </c>
      <c r="I51">
        <v>2.5000000000000001E-2</v>
      </c>
      <c r="J51">
        <v>7.0000000000000007E-2</v>
      </c>
      <c r="K51" s="11">
        <v>0.03</v>
      </c>
      <c r="L51">
        <v>1734595.6910000001</v>
      </c>
      <c r="M51">
        <v>31285</v>
      </c>
      <c r="O51">
        <v>25577</v>
      </c>
      <c r="P51">
        <v>55.445</v>
      </c>
      <c r="Q51">
        <v>34.764000000000003</v>
      </c>
      <c r="R51">
        <v>0.62570000000000003</v>
      </c>
      <c r="S51">
        <v>0.71344305035033406</v>
      </c>
      <c r="AG51">
        <v>0.1323</v>
      </c>
      <c r="AN51" s="3">
        <v>33416</v>
      </c>
      <c r="AO51" s="3">
        <v>451</v>
      </c>
      <c r="AP51" s="3"/>
      <c r="AQ51" s="3">
        <v>840</v>
      </c>
      <c r="AR51" s="3">
        <v>491</v>
      </c>
      <c r="AS51" s="3">
        <v>1940</v>
      </c>
    </row>
    <row r="52" spans="1:45">
      <c r="A52" s="2" t="s">
        <v>140</v>
      </c>
      <c r="B52" s="2" t="s">
        <v>145</v>
      </c>
      <c r="C52" s="16" t="s">
        <v>64</v>
      </c>
      <c r="D52" s="2" t="s">
        <v>70</v>
      </c>
      <c r="E52" s="2" t="s">
        <v>148</v>
      </c>
      <c r="F52" s="2">
        <v>145</v>
      </c>
      <c r="G52" s="2">
        <v>17814812</v>
      </c>
      <c r="H52" s="2">
        <v>3977038</v>
      </c>
      <c r="I52" s="2">
        <v>2.5000000000000001E-2</v>
      </c>
      <c r="J52" s="2">
        <v>7.0000000000000007E-2</v>
      </c>
      <c r="K52" s="11">
        <v>0.03</v>
      </c>
      <c r="L52" s="2">
        <v>1861905</v>
      </c>
      <c r="M52" s="2">
        <v>31327</v>
      </c>
      <c r="N52" s="2">
        <v>20139</v>
      </c>
      <c r="O52" s="2">
        <v>25471</v>
      </c>
      <c r="P52" s="2">
        <v>59.435000000000002</v>
      </c>
      <c r="Q52" s="2">
        <v>37.298999999999999</v>
      </c>
      <c r="R52" s="2">
        <v>0.63529999999999998</v>
      </c>
      <c r="S52" s="13">
        <v>0.46300000000000002</v>
      </c>
      <c r="AG52">
        <v>0.13270000000000001</v>
      </c>
      <c r="AN52" s="3"/>
      <c r="AO52" s="3"/>
      <c r="AP52" s="3"/>
      <c r="AQ52" s="3"/>
      <c r="AR52" s="3">
        <v>13410</v>
      </c>
      <c r="AS52" s="3">
        <v>8174</v>
      </c>
    </row>
    <row r="53" spans="1:45">
      <c r="A53" s="2" t="s">
        <v>140</v>
      </c>
      <c r="B53" s="2" t="s">
        <v>149</v>
      </c>
      <c r="C53" s="15" t="s">
        <v>66</v>
      </c>
      <c r="D53" s="2" t="s">
        <v>80</v>
      </c>
      <c r="E53" s="2" t="s">
        <v>150</v>
      </c>
      <c r="F53" s="2">
        <v>146</v>
      </c>
      <c r="G53" s="2">
        <v>14269770</v>
      </c>
      <c r="H53" s="2">
        <v>3179503</v>
      </c>
      <c r="I53" s="2">
        <v>2.2499999999999999E-2</v>
      </c>
      <c r="J53" s="2">
        <v>6.4299999999999996E-2</v>
      </c>
      <c r="K53" s="11">
        <v>0.03</v>
      </c>
      <c r="L53" s="2">
        <v>1228987</v>
      </c>
      <c r="M53" s="2">
        <v>13353</v>
      </c>
      <c r="N53" s="3">
        <v>707</v>
      </c>
      <c r="O53" s="2">
        <v>13771</v>
      </c>
      <c r="P53" s="2">
        <v>92.037999999999997</v>
      </c>
      <c r="Q53" s="2">
        <v>68.745999999999995</v>
      </c>
      <c r="R53" s="2">
        <v>0.64019999999999999</v>
      </c>
      <c r="S53" s="2">
        <v>0.71344305035033406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>
        <v>0.22167000000000001</v>
      </c>
      <c r="AH53" s="2"/>
      <c r="AI53" s="2"/>
      <c r="AJ53" s="2"/>
      <c r="AK53" s="2">
        <v>9.6490000000000006E-2</v>
      </c>
      <c r="AL53" s="2">
        <v>27831</v>
      </c>
      <c r="AM53" s="2">
        <v>2</v>
      </c>
      <c r="AN53" s="3">
        <v>1310</v>
      </c>
      <c r="AO53" s="3">
        <v>234</v>
      </c>
      <c r="AP53" s="3">
        <v>3309</v>
      </c>
      <c r="AQ53" s="3"/>
      <c r="AR53" s="3">
        <v>140</v>
      </c>
      <c r="AS53" s="3"/>
    </row>
    <row r="54" spans="1:45">
      <c r="A54" s="2" t="s">
        <v>140</v>
      </c>
      <c r="B54" t="s">
        <v>149</v>
      </c>
      <c r="C54" s="16" t="s">
        <v>61</v>
      </c>
      <c r="D54" s="2" t="s">
        <v>80</v>
      </c>
      <c r="E54" s="2" t="s">
        <v>151</v>
      </c>
      <c r="F54">
        <v>146</v>
      </c>
      <c r="G54">
        <v>13214658.111</v>
      </c>
      <c r="H54">
        <v>3145136.2039999999</v>
      </c>
      <c r="I54">
        <v>2.75E-2</v>
      </c>
      <c r="J54">
        <v>7.1800000000000003E-2</v>
      </c>
      <c r="K54" s="11">
        <v>0.03</v>
      </c>
      <c r="L54">
        <v>1205324.4450000001</v>
      </c>
      <c r="M54">
        <v>13438</v>
      </c>
      <c r="O54">
        <v>13631</v>
      </c>
      <c r="P54">
        <v>89.694999999999993</v>
      </c>
      <c r="Q54">
        <v>67.433999999999997</v>
      </c>
      <c r="R54">
        <v>0.61189000000000004</v>
      </c>
      <c r="S54" s="13">
        <v>0.46300000000000002</v>
      </c>
      <c r="AG54">
        <v>0.19586000000000001</v>
      </c>
      <c r="AN54" s="3">
        <v>1382</v>
      </c>
      <c r="AO54" s="3"/>
      <c r="AP54" s="3"/>
      <c r="AQ54" s="3"/>
      <c r="AR54" s="3">
        <v>96</v>
      </c>
      <c r="AS54" s="3">
        <v>61</v>
      </c>
    </row>
    <row r="55" spans="1:45">
      <c r="A55" s="2" t="s">
        <v>140</v>
      </c>
      <c r="B55" s="2" t="s">
        <v>149</v>
      </c>
      <c r="C55" s="16" t="s">
        <v>64</v>
      </c>
      <c r="D55" s="2" t="s">
        <v>80</v>
      </c>
      <c r="E55" s="2" t="s">
        <v>152</v>
      </c>
      <c r="F55" s="2">
        <v>146</v>
      </c>
      <c r="G55" s="2">
        <v>14703119</v>
      </c>
      <c r="H55" s="2">
        <v>3399988</v>
      </c>
      <c r="I55" s="2">
        <v>2.2499999999999999E-2</v>
      </c>
      <c r="J55" s="2">
        <v>6.2799999999999995E-2</v>
      </c>
      <c r="K55" s="11">
        <v>0.03</v>
      </c>
      <c r="L55" s="2">
        <v>1195980</v>
      </c>
      <c r="M55" s="2">
        <v>12715</v>
      </c>
      <c r="N55" s="2">
        <v>801</v>
      </c>
      <c r="O55" s="2">
        <v>13900</v>
      </c>
      <c r="P55" s="2">
        <v>94.061000000000007</v>
      </c>
      <c r="Q55" s="2">
        <v>71.201999999999998</v>
      </c>
      <c r="R55" s="2">
        <v>0.66844999999999999</v>
      </c>
      <c r="S55">
        <v>0.71344305035033406</v>
      </c>
      <c r="AG55">
        <v>0.21819</v>
      </c>
      <c r="AN55" s="3">
        <v>1312</v>
      </c>
      <c r="AO55" s="3"/>
      <c r="AP55" s="3"/>
      <c r="AQ55" s="3">
        <v>70</v>
      </c>
      <c r="AR55" s="3">
        <v>8</v>
      </c>
      <c r="AS55" s="3">
        <v>6</v>
      </c>
    </row>
    <row r="56" spans="1:45">
      <c r="A56" s="2" t="s">
        <v>140</v>
      </c>
      <c r="B56" t="s">
        <v>153</v>
      </c>
      <c r="C56" s="16" t="s">
        <v>61</v>
      </c>
      <c r="D56" t="s">
        <v>154</v>
      </c>
      <c r="E56" s="2" t="s">
        <v>155</v>
      </c>
      <c r="F56">
        <v>11</v>
      </c>
      <c r="G56">
        <v>22922992.557999998</v>
      </c>
      <c r="H56">
        <v>10969085.523</v>
      </c>
      <c r="I56">
        <v>2.75E-2</v>
      </c>
      <c r="J56">
        <v>6.8099999999999994E-2</v>
      </c>
      <c r="K56" s="11">
        <v>0.03</v>
      </c>
      <c r="L56">
        <v>2118062.176</v>
      </c>
      <c r="M56">
        <v>28958</v>
      </c>
      <c r="O56">
        <v>28549</v>
      </c>
      <c r="P56">
        <v>72.34</v>
      </c>
      <c r="Q56">
        <v>50.582999999999998</v>
      </c>
      <c r="R56">
        <v>0.37080999999999997</v>
      </c>
      <c r="S56">
        <v>0.71344305035033406</v>
      </c>
      <c r="AG56">
        <v>0.1729</v>
      </c>
      <c r="AN56" s="3"/>
      <c r="AO56" s="3"/>
      <c r="AP56" s="3"/>
      <c r="AQ56" s="3"/>
      <c r="AR56" s="3">
        <v>1114</v>
      </c>
      <c r="AS56" s="3">
        <v>671</v>
      </c>
    </row>
    <row r="57" spans="1:45">
      <c r="A57" s="2" t="s">
        <v>140</v>
      </c>
      <c r="B57" s="2" t="s">
        <v>153</v>
      </c>
      <c r="C57" s="16" t="s">
        <v>64</v>
      </c>
      <c r="D57" s="2" t="s">
        <v>154</v>
      </c>
      <c r="E57" s="2" t="s">
        <v>156</v>
      </c>
      <c r="F57" s="2">
        <v>11</v>
      </c>
      <c r="G57" s="2">
        <v>24073483</v>
      </c>
      <c r="H57" s="2">
        <v>11240208</v>
      </c>
      <c r="I57" s="2">
        <v>2.2499999999999999E-2</v>
      </c>
      <c r="J57" s="2">
        <v>6.3700000000000007E-2</v>
      </c>
      <c r="K57" s="11">
        <v>0.03</v>
      </c>
      <c r="L57" s="2">
        <v>2267288</v>
      </c>
      <c r="M57" s="2">
        <v>30091</v>
      </c>
      <c r="N57" s="2">
        <v>31284</v>
      </c>
      <c r="O57" s="2">
        <v>28015</v>
      </c>
      <c r="P57" s="2">
        <v>74.756</v>
      </c>
      <c r="Q57" s="2">
        <v>53.140999999999998</v>
      </c>
      <c r="R57" s="2">
        <v>0.40211999999999998</v>
      </c>
      <c r="S57">
        <v>0.71344305035033406</v>
      </c>
      <c r="AG57">
        <v>0.17599999999999999</v>
      </c>
      <c r="AN57" s="3">
        <v>22241</v>
      </c>
      <c r="AO57" s="3">
        <v>8574</v>
      </c>
      <c r="AP57" s="3"/>
      <c r="AQ57" s="3">
        <v>2069</v>
      </c>
      <c r="AR57" s="3">
        <v>965</v>
      </c>
      <c r="AS57" s="3"/>
    </row>
    <row r="58" spans="1:45">
      <c r="A58" s="2" t="s">
        <v>140</v>
      </c>
      <c r="B58" s="2" t="s">
        <v>153</v>
      </c>
      <c r="C58" s="15" t="s">
        <v>66</v>
      </c>
      <c r="D58" s="2" t="s">
        <v>154</v>
      </c>
      <c r="E58" s="2" t="s">
        <v>157</v>
      </c>
      <c r="F58" s="2">
        <v>11</v>
      </c>
      <c r="G58" s="2">
        <v>23252163</v>
      </c>
      <c r="H58" s="2">
        <v>11021812</v>
      </c>
      <c r="I58" s="2">
        <v>2.5000000000000001E-2</v>
      </c>
      <c r="J58" s="2">
        <v>6.7199999999999996E-2</v>
      </c>
      <c r="K58" s="11">
        <v>0.03</v>
      </c>
      <c r="L58" s="2">
        <v>2203056</v>
      </c>
      <c r="M58" s="2">
        <v>29295</v>
      </c>
      <c r="N58" s="3">
        <v>95</v>
      </c>
      <c r="O58" s="2">
        <v>28317</v>
      </c>
      <c r="P58" s="2">
        <v>74.382999999999996</v>
      </c>
      <c r="Q58" s="2">
        <v>51.878</v>
      </c>
      <c r="R58" s="2">
        <v>0.37691000000000002</v>
      </c>
      <c r="S58" s="2">
        <v>0.71344305035033406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>
        <v>0.1736</v>
      </c>
      <c r="AH58" s="2"/>
      <c r="AI58" s="2"/>
      <c r="AJ58" s="2"/>
      <c r="AK58" s="2">
        <v>8.7459999999999996E-2</v>
      </c>
      <c r="AL58" s="2">
        <v>67538</v>
      </c>
      <c r="AM58" s="2">
        <v>5</v>
      </c>
      <c r="AN58" s="3">
        <v>6013</v>
      </c>
      <c r="AO58" s="3">
        <v>1110</v>
      </c>
      <c r="AP58" s="3"/>
      <c r="AQ58" s="3"/>
      <c r="AR58" s="3">
        <v>1008</v>
      </c>
      <c r="AS58" s="3"/>
    </row>
    <row r="59" spans="1:45">
      <c r="A59" t="s">
        <v>158</v>
      </c>
      <c r="B59" t="s">
        <v>159</v>
      </c>
      <c r="C59" s="16" t="s">
        <v>61</v>
      </c>
      <c r="D59" t="s">
        <v>70</v>
      </c>
      <c r="E59" s="2" t="s">
        <v>160</v>
      </c>
      <c r="F59">
        <v>160</v>
      </c>
      <c r="G59">
        <v>2346906</v>
      </c>
      <c r="H59">
        <v>1772494</v>
      </c>
      <c r="I59">
        <v>0.03</v>
      </c>
      <c r="K59" s="11">
        <v>0.03</v>
      </c>
      <c r="L59">
        <v>191806</v>
      </c>
      <c r="M59">
        <v>3029</v>
      </c>
      <c r="O59">
        <v>4233</v>
      </c>
      <c r="P59">
        <v>61.036000000000001</v>
      </c>
      <c r="Q59">
        <v>38.375999999999998</v>
      </c>
      <c r="R59">
        <v>0.28510000000000002</v>
      </c>
      <c r="AG59">
        <v>0.13320000000000001</v>
      </c>
      <c r="AN59" s="3"/>
      <c r="AO59" s="3"/>
      <c r="AP59" s="3"/>
      <c r="AQ59" s="3"/>
      <c r="AR59" s="3"/>
      <c r="AS59" s="3"/>
    </row>
    <row r="60" spans="1:45">
      <c r="A60" s="2" t="s">
        <v>158</v>
      </c>
      <c r="B60" s="2" t="s">
        <v>159</v>
      </c>
      <c r="C60" s="16" t="s">
        <v>64</v>
      </c>
      <c r="D60" s="2" t="s">
        <v>70</v>
      </c>
      <c r="E60" s="2" t="s">
        <v>161</v>
      </c>
      <c r="F60" s="2">
        <v>160</v>
      </c>
      <c r="G60" s="2">
        <v>2466349</v>
      </c>
      <c r="H60" s="2">
        <v>1756533</v>
      </c>
      <c r="I60" s="11">
        <v>2.5000000000000001E-2</v>
      </c>
      <c r="J60" s="2">
        <v>7.4999999999999997E-2</v>
      </c>
      <c r="K60" s="11">
        <v>0.03</v>
      </c>
      <c r="L60" s="2">
        <v>215460</v>
      </c>
      <c r="M60" s="2">
        <v>2903</v>
      </c>
      <c r="N60" s="2">
        <v>225</v>
      </c>
      <c r="O60" s="2">
        <v>3660</v>
      </c>
      <c r="P60" s="2">
        <v>68.412999999999997</v>
      </c>
      <c r="Q60" s="2">
        <v>39.582000000000001</v>
      </c>
      <c r="R60" s="2">
        <v>0.30669999999999997</v>
      </c>
      <c r="AG60">
        <v>0.1246</v>
      </c>
      <c r="AN60" s="3"/>
      <c r="AO60" s="3"/>
      <c r="AP60" s="3"/>
      <c r="AQ60" s="3"/>
      <c r="AR60" s="3"/>
      <c r="AS60" s="3"/>
    </row>
    <row r="61" spans="1:45">
      <c r="A61" s="2" t="s">
        <v>158</v>
      </c>
      <c r="B61" s="2" t="s">
        <v>159</v>
      </c>
      <c r="C61" s="15" t="s">
        <v>66</v>
      </c>
      <c r="D61" s="2" t="s">
        <v>70</v>
      </c>
      <c r="E61" s="2" t="s">
        <v>162</v>
      </c>
      <c r="F61" s="2">
        <v>160</v>
      </c>
      <c r="G61" s="2">
        <v>2417515</v>
      </c>
      <c r="H61" s="2">
        <v>1755861</v>
      </c>
      <c r="I61" s="2">
        <v>2.75E-2</v>
      </c>
      <c r="J61" s="11">
        <v>7.0000000000000007E-2</v>
      </c>
      <c r="K61" s="11">
        <v>0.03</v>
      </c>
      <c r="L61" s="2">
        <v>206122</v>
      </c>
      <c r="M61" s="2">
        <v>2951</v>
      </c>
      <c r="N61" s="3">
        <v>212</v>
      </c>
      <c r="O61" s="2">
        <v>4207</v>
      </c>
      <c r="P61" s="2">
        <v>66.132000000000005</v>
      </c>
      <c r="Q61" s="2">
        <v>38.679000000000002</v>
      </c>
      <c r="R61" s="2">
        <v>0.30199999999999999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>
        <v>0.12659999999999999</v>
      </c>
      <c r="AH61" s="2"/>
      <c r="AI61" s="2"/>
      <c r="AJ61" s="2"/>
      <c r="AK61" s="2">
        <v>0.09</v>
      </c>
      <c r="AL61" s="2">
        <v>7370</v>
      </c>
      <c r="AM61" s="2">
        <v>2</v>
      </c>
      <c r="AN61" s="3">
        <v>3255</v>
      </c>
      <c r="AO61" s="3"/>
      <c r="AP61" s="3"/>
      <c r="AQ61" s="3"/>
      <c r="AR61" s="3">
        <v>500</v>
      </c>
      <c r="AS61" s="3"/>
    </row>
    <row r="62" spans="1:45">
      <c r="A62" s="2" t="s">
        <v>163</v>
      </c>
      <c r="B62" s="2" t="s">
        <v>164</v>
      </c>
      <c r="C62" s="15" t="s">
        <v>66</v>
      </c>
      <c r="D62" s="2" t="s">
        <v>70</v>
      </c>
      <c r="E62" s="2" t="s">
        <v>165</v>
      </c>
      <c r="F62" s="2">
        <v>201</v>
      </c>
      <c r="G62" s="2">
        <v>4863325</v>
      </c>
      <c r="H62" s="2">
        <v>3682959</v>
      </c>
      <c r="I62" s="2">
        <v>2.5000000000000001E-2</v>
      </c>
      <c r="J62" s="2">
        <v>5.9299999999999999E-2</v>
      </c>
      <c r="K62" s="11">
        <v>0.03</v>
      </c>
      <c r="L62" s="2">
        <v>444737</v>
      </c>
      <c r="M62" s="2">
        <v>7427</v>
      </c>
      <c r="N62" s="3">
        <v>1666</v>
      </c>
      <c r="O62" s="2">
        <v>7405</v>
      </c>
      <c r="P62" s="2">
        <v>58.420999999999999</v>
      </c>
      <c r="Q62" s="2">
        <v>37.542999999999999</v>
      </c>
      <c r="R62" s="2">
        <v>0.22059999999999999</v>
      </c>
      <c r="S62" s="2">
        <v>0.69699999999999995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>
        <v>0.20499999999999999</v>
      </c>
      <c r="AH62" s="2"/>
      <c r="AI62" s="2"/>
      <c r="AJ62" s="2"/>
      <c r="AK62" s="2">
        <v>0.13320000000000001</v>
      </c>
      <c r="AL62" s="2">
        <v>16498</v>
      </c>
      <c r="AM62" s="2">
        <v>2</v>
      </c>
      <c r="AN62" s="3">
        <v>6699</v>
      </c>
      <c r="AO62" s="3">
        <v>1425</v>
      </c>
      <c r="AP62" s="3"/>
      <c r="AQ62" s="3">
        <v>966</v>
      </c>
      <c r="AR62" s="3">
        <v>748</v>
      </c>
      <c r="AS62" s="3">
        <v>2157</v>
      </c>
    </row>
    <row r="63" spans="1:45">
      <c r="A63" s="2" t="s">
        <v>163</v>
      </c>
      <c r="B63" t="s">
        <v>164</v>
      </c>
      <c r="C63" s="16" t="s">
        <v>61</v>
      </c>
      <c r="D63" s="2" t="s">
        <v>70</v>
      </c>
      <c r="E63" s="2" t="s">
        <v>166</v>
      </c>
      <c r="F63">
        <v>201</v>
      </c>
      <c r="G63">
        <v>4526996</v>
      </c>
      <c r="H63">
        <v>3620319</v>
      </c>
      <c r="I63">
        <v>2.75E-2</v>
      </c>
      <c r="J63">
        <v>5.9799999999999999E-2</v>
      </c>
      <c r="K63" s="11">
        <v>0.03</v>
      </c>
      <c r="L63">
        <v>435375</v>
      </c>
      <c r="M63">
        <v>7584</v>
      </c>
      <c r="O63">
        <v>7224</v>
      </c>
      <c r="P63">
        <v>55.871000000000002</v>
      </c>
      <c r="Q63">
        <v>36.542000000000002</v>
      </c>
      <c r="R63">
        <v>0.2127</v>
      </c>
      <c r="S63" s="2">
        <v>0.69699999999999995</v>
      </c>
      <c r="AG63">
        <v>0.1956</v>
      </c>
      <c r="AN63" s="3">
        <v>24218</v>
      </c>
      <c r="AO63" s="3">
        <v>4027</v>
      </c>
      <c r="AP63" s="3"/>
      <c r="AQ63" s="3"/>
      <c r="AR63" s="3">
        <v>9955</v>
      </c>
      <c r="AS63" s="3"/>
    </row>
    <row r="64" spans="1:45">
      <c r="A64" s="2" t="s">
        <v>163</v>
      </c>
      <c r="B64" s="2" t="s">
        <v>164</v>
      </c>
      <c r="C64" s="16" t="s">
        <v>64</v>
      </c>
      <c r="D64" s="2" t="s">
        <v>70</v>
      </c>
      <c r="E64" s="2" t="s">
        <v>167</v>
      </c>
      <c r="F64" s="2">
        <v>201</v>
      </c>
      <c r="G64" s="2">
        <v>4932886</v>
      </c>
      <c r="H64" s="2">
        <v>3747078</v>
      </c>
      <c r="I64" s="2">
        <v>2.5000000000000001E-2</v>
      </c>
      <c r="J64" s="2">
        <v>5.2699999999999997E-2</v>
      </c>
      <c r="K64" s="11">
        <v>0.03</v>
      </c>
      <c r="L64" s="2">
        <v>439544</v>
      </c>
      <c r="M64" s="2">
        <v>7244</v>
      </c>
      <c r="N64" s="2">
        <v>143</v>
      </c>
      <c r="O64" s="2">
        <v>7552</v>
      </c>
      <c r="P64" s="2">
        <v>59.197000000000003</v>
      </c>
      <c r="Q64" s="2">
        <v>38.064999999999998</v>
      </c>
      <c r="R64" s="2">
        <v>0.21529999999999999</v>
      </c>
      <c r="S64" s="2">
        <v>0.69699999999999995</v>
      </c>
      <c r="AG64">
        <v>0.2011</v>
      </c>
      <c r="AN64" s="3">
        <v>7029</v>
      </c>
      <c r="AO64" s="3"/>
      <c r="AP64" s="3"/>
      <c r="AQ64" s="3"/>
      <c r="AR64" s="3">
        <v>2812</v>
      </c>
      <c r="AS64" s="3"/>
    </row>
    <row r="65" spans="1:45">
      <c r="A65" s="2" t="s">
        <v>163</v>
      </c>
      <c r="B65" s="2" t="s">
        <v>168</v>
      </c>
      <c r="C65" s="15" t="s">
        <v>66</v>
      </c>
      <c r="D65" s="2" t="s">
        <v>62</v>
      </c>
      <c r="E65" s="2" t="s">
        <v>169</v>
      </c>
      <c r="F65" s="2">
        <v>153</v>
      </c>
      <c r="G65" s="2">
        <v>4723972</v>
      </c>
      <c r="H65" s="2">
        <v>2160126</v>
      </c>
      <c r="I65" s="2">
        <v>2.5000000000000001E-2</v>
      </c>
      <c r="J65" s="2">
        <v>7.0000000000000007E-2</v>
      </c>
      <c r="K65" s="11">
        <v>0.03</v>
      </c>
      <c r="L65" s="2">
        <v>396954.7</v>
      </c>
      <c r="M65" s="2">
        <v>4738</v>
      </c>
      <c r="N65" s="3">
        <v>128</v>
      </c>
      <c r="O65" s="2">
        <v>5039</v>
      </c>
      <c r="P65" s="2">
        <v>76.254000000000005</v>
      </c>
      <c r="Q65" s="2">
        <v>50.161000000000001</v>
      </c>
      <c r="R65" s="2">
        <v>0.46710000000000002</v>
      </c>
      <c r="S65">
        <v>0.85872401433691758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>
        <v>0.17399999999999999</v>
      </c>
      <c r="AH65" s="2"/>
      <c r="AI65" s="2"/>
      <c r="AJ65" s="2"/>
      <c r="AK65" s="2">
        <v>0.13500000000000001</v>
      </c>
      <c r="AL65" s="2">
        <v>10019</v>
      </c>
      <c r="AM65" s="2">
        <v>2</v>
      </c>
      <c r="AN65" s="3"/>
      <c r="AO65" s="3"/>
      <c r="AP65" s="3"/>
      <c r="AQ65" s="3"/>
      <c r="AR65" s="3">
        <v>83</v>
      </c>
      <c r="AS65" s="3"/>
    </row>
    <row r="66" spans="1:45">
      <c r="A66" s="2" t="s">
        <v>163</v>
      </c>
      <c r="B66" t="s">
        <v>168</v>
      </c>
      <c r="C66" s="16" t="s">
        <v>61</v>
      </c>
      <c r="D66" s="2" t="s">
        <v>62</v>
      </c>
      <c r="E66" s="2" t="s">
        <v>170</v>
      </c>
      <c r="F66">
        <v>153</v>
      </c>
      <c r="G66">
        <v>4494822.5039999997</v>
      </c>
      <c r="H66">
        <v>2161899.662</v>
      </c>
      <c r="I66">
        <v>2.75E-2</v>
      </c>
      <c r="J66">
        <v>7.2499999999999995E-2</v>
      </c>
      <c r="K66" s="11">
        <v>0.03</v>
      </c>
      <c r="L66">
        <v>363117.41499999998</v>
      </c>
      <c r="M66">
        <v>4529</v>
      </c>
      <c r="O66">
        <v>4919</v>
      </c>
      <c r="P66">
        <v>70.475999999999999</v>
      </c>
      <c r="Q66">
        <v>49.884999999999998</v>
      </c>
      <c r="R66">
        <v>0.41880000000000001</v>
      </c>
      <c r="S66">
        <v>0.85872401433691758</v>
      </c>
      <c r="AG66">
        <v>0.16689999999999999</v>
      </c>
      <c r="AN66" s="3">
        <v>4274</v>
      </c>
      <c r="AO66" s="3">
        <v>508</v>
      </c>
      <c r="AP66" s="3"/>
      <c r="AQ66" s="3"/>
      <c r="AR66" s="3">
        <v>2561</v>
      </c>
      <c r="AS66" s="3"/>
    </row>
    <row r="67" spans="1:45">
      <c r="A67" s="2" t="s">
        <v>163</v>
      </c>
      <c r="B67" s="2" t="s">
        <v>168</v>
      </c>
      <c r="C67" s="16" t="s">
        <v>64</v>
      </c>
      <c r="D67" s="2" t="s">
        <v>62</v>
      </c>
      <c r="E67" s="2" t="s">
        <v>171</v>
      </c>
      <c r="F67" s="2">
        <v>153</v>
      </c>
      <c r="G67" s="2">
        <v>5115967</v>
      </c>
      <c r="H67" s="2">
        <v>2127834</v>
      </c>
      <c r="I67" s="2">
        <v>2.5000000000000001E-2</v>
      </c>
      <c r="J67" s="11">
        <v>7.0000000000000007E-2</v>
      </c>
      <c r="K67" s="11">
        <v>0.03</v>
      </c>
      <c r="L67" s="2">
        <v>427440.5</v>
      </c>
      <c r="M67" s="2">
        <v>4786</v>
      </c>
      <c r="N67" s="2">
        <v>1710</v>
      </c>
      <c r="O67" s="2">
        <v>5110</v>
      </c>
      <c r="P67" s="2">
        <v>82.918999999999997</v>
      </c>
      <c r="Q67" s="2">
        <v>50.197000000000003</v>
      </c>
      <c r="R67" s="2">
        <v>0.51770000000000005</v>
      </c>
      <c r="S67">
        <v>0.85872401433691758</v>
      </c>
      <c r="AG67">
        <v>0.19220000000000001</v>
      </c>
      <c r="AN67" s="3">
        <v>3952</v>
      </c>
      <c r="AO67" s="3">
        <v>285</v>
      </c>
      <c r="AP67" s="3"/>
      <c r="AQ67" s="3"/>
      <c r="AR67" s="3">
        <v>647</v>
      </c>
      <c r="AS67" s="3">
        <v>2627</v>
      </c>
    </row>
    <row r="68" spans="1:45">
      <c r="A68" s="2" t="s">
        <v>172</v>
      </c>
      <c r="B68" t="s">
        <v>173</v>
      </c>
      <c r="C68" s="16" t="s">
        <v>61</v>
      </c>
      <c r="D68" s="2" t="s">
        <v>62</v>
      </c>
      <c r="E68" s="2" t="s">
        <v>174</v>
      </c>
      <c r="F68">
        <v>19</v>
      </c>
      <c r="G68">
        <v>5223760</v>
      </c>
      <c r="H68">
        <v>5848576</v>
      </c>
      <c r="I68">
        <v>3.5000000000000003E-2</v>
      </c>
      <c r="J68">
        <v>6.5000000000000002E-2</v>
      </c>
      <c r="K68" s="11">
        <v>0.03</v>
      </c>
      <c r="L68">
        <v>454209</v>
      </c>
      <c r="M68">
        <v>5349</v>
      </c>
      <c r="O68">
        <v>3441</v>
      </c>
      <c r="P68">
        <v>84.915000000000006</v>
      </c>
      <c r="Q68">
        <v>32.497999999999998</v>
      </c>
      <c r="R68">
        <v>0.19439999999999999</v>
      </c>
      <c r="AG68">
        <v>0.39450000000000002</v>
      </c>
      <c r="AN68" s="3">
        <v>3632</v>
      </c>
      <c r="AO68" s="3">
        <v>347</v>
      </c>
      <c r="AP68" s="3"/>
      <c r="AQ68" s="3">
        <v>120</v>
      </c>
      <c r="AR68" s="3">
        <v>2489</v>
      </c>
      <c r="AS68" s="3">
        <v>2742</v>
      </c>
    </row>
    <row r="69" spans="1:45">
      <c r="A69" s="2" t="s">
        <v>172</v>
      </c>
      <c r="B69" s="2" t="s">
        <v>173</v>
      </c>
      <c r="C69" s="16" t="s">
        <v>64</v>
      </c>
      <c r="D69" s="2" t="s">
        <v>62</v>
      </c>
      <c r="E69" s="2" t="s">
        <v>175</v>
      </c>
      <c r="F69" s="2">
        <v>19</v>
      </c>
      <c r="G69" s="2">
        <v>6023843</v>
      </c>
      <c r="H69" s="2">
        <v>6676013</v>
      </c>
      <c r="I69" s="2">
        <v>3.5000000000000003E-2</v>
      </c>
      <c r="J69" s="2">
        <v>6.5000000000000002E-2</v>
      </c>
      <c r="K69" s="11">
        <v>0.03</v>
      </c>
      <c r="L69" s="2">
        <v>507348</v>
      </c>
      <c r="M69" s="2">
        <v>5377</v>
      </c>
      <c r="N69" s="2">
        <v>683</v>
      </c>
      <c r="O69" s="2">
        <v>3929</v>
      </c>
      <c r="P69" s="2">
        <v>94.355000000000004</v>
      </c>
      <c r="Q69" s="2">
        <v>37.31</v>
      </c>
      <c r="R69" s="2">
        <v>0.20979999999999999</v>
      </c>
      <c r="AG69">
        <v>0.40250000000000002</v>
      </c>
      <c r="AN69" s="3">
        <v>2539</v>
      </c>
      <c r="AO69" s="3">
        <v>357</v>
      </c>
      <c r="AP69" s="3"/>
      <c r="AQ69" s="3">
        <v>57</v>
      </c>
      <c r="AR69" s="3">
        <v>328</v>
      </c>
      <c r="AS69" s="3">
        <v>151</v>
      </c>
    </row>
    <row r="70" spans="1:45">
      <c r="A70" s="2" t="s">
        <v>172</v>
      </c>
      <c r="B70" s="2" t="s">
        <v>173</v>
      </c>
      <c r="C70" s="15" t="s">
        <v>66</v>
      </c>
      <c r="D70" s="2" t="s">
        <v>62</v>
      </c>
      <c r="E70" s="2" t="s">
        <v>176</v>
      </c>
      <c r="F70" s="2">
        <v>19</v>
      </c>
      <c r="G70" s="2">
        <v>5604573</v>
      </c>
      <c r="H70" s="2">
        <v>6269628</v>
      </c>
      <c r="I70" s="2">
        <v>3.5000000000000003E-2</v>
      </c>
      <c r="J70" s="2">
        <v>6.5000000000000002E-2</v>
      </c>
      <c r="K70" s="11">
        <v>0.03</v>
      </c>
      <c r="L70" s="2">
        <v>495809</v>
      </c>
      <c r="M70" s="2">
        <v>5406</v>
      </c>
      <c r="N70" s="3">
        <v>676</v>
      </c>
      <c r="O70" s="2">
        <v>3699</v>
      </c>
      <c r="P70" s="2">
        <v>91.715000000000003</v>
      </c>
      <c r="Q70" s="2">
        <v>34.850999999999999</v>
      </c>
      <c r="R70" s="2">
        <v>0.2051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>
        <v>0.39660000000000001</v>
      </c>
      <c r="AH70" s="2"/>
      <c r="AI70" s="2"/>
      <c r="AJ70" s="2"/>
      <c r="AK70" s="2">
        <v>7.9000000000000001E-2</v>
      </c>
      <c r="AL70" s="2">
        <v>9366</v>
      </c>
      <c r="AM70" s="2">
        <v>2</v>
      </c>
      <c r="AN70" s="3"/>
      <c r="AO70" s="3"/>
      <c r="AP70" s="3"/>
      <c r="AQ70" s="3"/>
      <c r="AR70" s="3">
        <v>178</v>
      </c>
      <c r="AS70" s="3"/>
    </row>
    <row r="71" spans="1:45">
      <c r="A71" t="s">
        <v>172</v>
      </c>
      <c r="B71" t="s">
        <v>177</v>
      </c>
      <c r="C71" s="16" t="s">
        <v>61</v>
      </c>
      <c r="D71" t="s">
        <v>154</v>
      </c>
      <c r="E71" s="2" t="s">
        <v>178</v>
      </c>
      <c r="F71">
        <v>20</v>
      </c>
      <c r="G71">
        <v>2301314</v>
      </c>
      <c r="H71">
        <v>2139911</v>
      </c>
      <c r="I71">
        <v>3.5000000000000003E-2</v>
      </c>
      <c r="J71">
        <v>6.5000000000000002E-2</v>
      </c>
      <c r="K71" s="11">
        <v>0.03</v>
      </c>
      <c r="L71">
        <v>470749</v>
      </c>
      <c r="M71">
        <v>5066</v>
      </c>
      <c r="O71">
        <v>3990</v>
      </c>
      <c r="P71">
        <v>92.923000000000002</v>
      </c>
      <c r="Q71">
        <v>19.181999999999999</v>
      </c>
      <c r="R71">
        <v>0.1167</v>
      </c>
      <c r="AG71">
        <v>0.15870000000000001</v>
      </c>
      <c r="AN71" s="3"/>
      <c r="AO71" s="3"/>
      <c r="AP71" s="3"/>
      <c r="AQ71" s="3"/>
      <c r="AR71" s="3"/>
      <c r="AS71" s="3"/>
    </row>
    <row r="72" spans="1:45">
      <c r="A72" s="2" t="s">
        <v>172</v>
      </c>
      <c r="B72" s="2" t="s">
        <v>177</v>
      </c>
      <c r="C72" s="16" t="s">
        <v>64</v>
      </c>
      <c r="D72" s="2" t="s">
        <v>154</v>
      </c>
      <c r="E72" s="2" t="s">
        <v>179</v>
      </c>
      <c r="F72" s="2">
        <v>20</v>
      </c>
      <c r="G72" s="2">
        <v>2640803</v>
      </c>
      <c r="H72" s="2">
        <v>2431075</v>
      </c>
      <c r="I72" s="2">
        <v>3.5000000000000003E-2</v>
      </c>
      <c r="J72" s="2">
        <v>6.5000000000000002E-2</v>
      </c>
      <c r="K72" s="11">
        <v>0.03</v>
      </c>
      <c r="L72" s="2">
        <v>551835</v>
      </c>
      <c r="M72" s="2">
        <v>5531</v>
      </c>
      <c r="N72" s="2">
        <v>6227</v>
      </c>
      <c r="O72" s="2">
        <v>4071</v>
      </c>
      <c r="P72" s="2">
        <v>99.771000000000001</v>
      </c>
      <c r="Q72" s="2">
        <v>20.97</v>
      </c>
      <c r="R72" s="2">
        <v>0.1226</v>
      </c>
      <c r="AG72">
        <v>0.1497</v>
      </c>
      <c r="AN72" s="3">
        <v>797</v>
      </c>
      <c r="AO72" s="3">
        <v>191</v>
      </c>
      <c r="AP72" s="3"/>
      <c r="AQ72" s="3"/>
      <c r="AR72" s="3">
        <v>27</v>
      </c>
      <c r="AS72" s="3"/>
    </row>
    <row r="73" spans="1:45">
      <c r="A73" s="2" t="s">
        <v>172</v>
      </c>
      <c r="B73" s="2" t="s">
        <v>177</v>
      </c>
      <c r="C73" s="15" t="s">
        <v>66</v>
      </c>
      <c r="D73" s="2" t="s">
        <v>154</v>
      </c>
      <c r="E73" s="2" t="s">
        <v>180</v>
      </c>
      <c r="F73" s="2">
        <v>20</v>
      </c>
      <c r="G73" s="2">
        <v>2494291</v>
      </c>
      <c r="H73" s="2">
        <v>2271160</v>
      </c>
      <c r="I73" s="2">
        <v>3.5000000000000003E-2</v>
      </c>
      <c r="J73" s="2">
        <v>6.5000000000000002E-2</v>
      </c>
      <c r="K73" s="11">
        <v>0.03</v>
      </c>
      <c r="L73" s="2">
        <v>516609</v>
      </c>
      <c r="M73" s="2">
        <v>5226</v>
      </c>
      <c r="N73" s="3">
        <v>6324</v>
      </c>
      <c r="O73" s="2">
        <v>4059</v>
      </c>
      <c r="P73" s="2">
        <v>98.853999999999999</v>
      </c>
      <c r="Q73" s="2">
        <v>20.163</v>
      </c>
      <c r="R73" s="2">
        <v>0.1232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>
        <v>0.14580000000000001</v>
      </c>
      <c r="AH73" s="2"/>
      <c r="AI73" s="2"/>
      <c r="AJ73" s="2"/>
      <c r="AK73" s="2">
        <v>7.9000000000000001E-2</v>
      </c>
      <c r="AL73" s="2">
        <v>10731</v>
      </c>
      <c r="AM73" s="2">
        <v>2</v>
      </c>
      <c r="AN73" s="3">
        <v>2975</v>
      </c>
      <c r="AO73" s="3">
        <v>782</v>
      </c>
      <c r="AP73" s="3"/>
      <c r="AQ73" s="3"/>
      <c r="AR73" s="3">
        <v>148</v>
      </c>
      <c r="AS73" s="3">
        <v>792</v>
      </c>
    </row>
    <row r="74" spans="1:45">
      <c r="A74" s="2" t="s">
        <v>181</v>
      </c>
      <c r="B74" t="s">
        <v>182</v>
      </c>
      <c r="C74" s="16" t="s">
        <v>61</v>
      </c>
      <c r="D74" t="s">
        <v>70</v>
      </c>
      <c r="E74" s="2" t="s">
        <v>183</v>
      </c>
      <c r="F74">
        <v>22</v>
      </c>
      <c r="G74">
        <v>3623670</v>
      </c>
      <c r="H74">
        <v>2255412</v>
      </c>
      <c r="I74">
        <v>2.5000000000000001E-2</v>
      </c>
      <c r="J74">
        <v>7.4999999999999997E-2</v>
      </c>
      <c r="K74" s="11">
        <v>0.03</v>
      </c>
      <c r="L74">
        <v>692151</v>
      </c>
      <c r="M74">
        <v>9210</v>
      </c>
      <c r="N74">
        <f>3378+2740</f>
        <v>6118</v>
      </c>
      <c r="O74">
        <v>8399</v>
      </c>
      <c r="P74">
        <v>75.152000000000001</v>
      </c>
      <c r="Q74">
        <v>22742</v>
      </c>
      <c r="R74">
        <v>0.20349999999999999</v>
      </c>
      <c r="S74">
        <v>0.54</v>
      </c>
      <c r="AG74">
        <v>9.5600000000000004E-2</v>
      </c>
      <c r="AN74" s="3">
        <v>1358</v>
      </c>
      <c r="AO74" s="3">
        <v>250</v>
      </c>
      <c r="AP74" s="3"/>
      <c r="AQ74" s="3"/>
      <c r="AR74" s="3">
        <v>35</v>
      </c>
      <c r="AS74" s="3"/>
    </row>
    <row r="75" spans="1:45">
      <c r="A75" s="2" t="s">
        <v>181</v>
      </c>
      <c r="B75" s="2" t="s">
        <v>182</v>
      </c>
      <c r="C75" s="16" t="s">
        <v>64</v>
      </c>
      <c r="D75" s="2" t="s">
        <v>70</v>
      </c>
      <c r="E75" s="2" t="s">
        <v>184</v>
      </c>
      <c r="F75" s="2">
        <v>22</v>
      </c>
      <c r="G75" s="2">
        <v>3947667</v>
      </c>
      <c r="H75" s="2">
        <v>2378772</v>
      </c>
      <c r="I75" s="2">
        <v>2.5000000000000001E-2</v>
      </c>
      <c r="J75" s="2">
        <v>7.2499999999999995E-2</v>
      </c>
      <c r="K75" s="11">
        <v>0.03</v>
      </c>
      <c r="L75" s="2">
        <v>719481</v>
      </c>
      <c r="M75" s="2">
        <v>8958</v>
      </c>
      <c r="N75" s="2">
        <v>43</v>
      </c>
      <c r="O75" s="2">
        <v>10538</v>
      </c>
      <c r="P75" s="2">
        <v>80.745999999999995</v>
      </c>
      <c r="Q75" s="2">
        <v>22.515000000000001</v>
      </c>
      <c r="R75" s="2">
        <v>0.24390000000000001</v>
      </c>
      <c r="S75">
        <v>0.54</v>
      </c>
      <c r="AG75">
        <v>8.2000000000000003E-2</v>
      </c>
      <c r="AN75" s="3">
        <v>6852</v>
      </c>
      <c r="AO75" s="3"/>
      <c r="AP75" s="3"/>
      <c r="AQ75" s="3"/>
      <c r="AR75" s="3">
        <v>1264</v>
      </c>
      <c r="AS75" s="3"/>
    </row>
    <row r="76" spans="1:45">
      <c r="A76" s="2" t="s">
        <v>181</v>
      </c>
      <c r="B76" s="2" t="s">
        <v>182</v>
      </c>
      <c r="C76" s="15" t="s">
        <v>66</v>
      </c>
      <c r="D76" s="2" t="s">
        <v>70</v>
      </c>
      <c r="E76" s="2" t="s">
        <v>185</v>
      </c>
      <c r="F76" s="2">
        <v>22</v>
      </c>
      <c r="G76" s="2">
        <v>3727787</v>
      </c>
      <c r="H76" s="2">
        <v>2300324</v>
      </c>
      <c r="I76" s="2">
        <v>2.5000000000000001E-2</v>
      </c>
      <c r="J76" s="2">
        <v>7.4999999999999997E-2</v>
      </c>
      <c r="K76" s="11">
        <v>0.03</v>
      </c>
      <c r="L76" s="2">
        <v>732000</v>
      </c>
      <c r="M76" s="2">
        <v>9401</v>
      </c>
      <c r="N76">
        <f>3411+2913</f>
        <v>6324</v>
      </c>
      <c r="O76" s="2">
        <v>8554</v>
      </c>
      <c r="P76" s="2">
        <v>78.453000000000003</v>
      </c>
      <c r="Q76" s="2">
        <v>23123</v>
      </c>
      <c r="R76" s="2">
        <v>0.2432</v>
      </c>
      <c r="S76">
        <v>0.54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>
        <v>8.3500000000000005E-2</v>
      </c>
      <c r="AH76" s="2"/>
      <c r="AI76" s="2"/>
      <c r="AJ76" s="2"/>
      <c r="AK76" s="2">
        <v>0.08</v>
      </c>
      <c r="AL76" s="2">
        <v>22965</v>
      </c>
      <c r="AM76" s="2">
        <v>2</v>
      </c>
      <c r="AN76" s="3">
        <v>6894</v>
      </c>
      <c r="AO76" s="3">
        <v>1506</v>
      </c>
      <c r="AP76" s="3"/>
      <c r="AQ76" s="3"/>
      <c r="AR76" s="3">
        <v>1044</v>
      </c>
      <c r="AS76" s="3"/>
    </row>
    <row r="77" spans="1:45">
      <c r="A77" s="2" t="s">
        <v>181</v>
      </c>
      <c r="B77" t="s">
        <v>186</v>
      </c>
      <c r="C77" s="16" t="s">
        <v>61</v>
      </c>
      <c r="D77" t="s">
        <v>154</v>
      </c>
      <c r="E77" s="2" t="s">
        <v>187</v>
      </c>
      <c r="F77">
        <v>23</v>
      </c>
      <c r="G77">
        <v>4248602</v>
      </c>
      <c r="H77">
        <v>3261338</v>
      </c>
      <c r="I77">
        <v>2.4E-2</v>
      </c>
      <c r="J77">
        <v>7.2499999999999995E-2</v>
      </c>
      <c r="K77" s="11">
        <v>0.03</v>
      </c>
      <c r="L77">
        <v>722040</v>
      </c>
      <c r="M77">
        <v>16148</v>
      </c>
      <c r="O77">
        <v>7156</v>
      </c>
      <c r="P77">
        <v>44.713999999999999</v>
      </c>
      <c r="Q77">
        <v>38.926000000000002</v>
      </c>
      <c r="R77">
        <v>0.1042</v>
      </c>
      <c r="S77">
        <v>0.41</v>
      </c>
      <c r="AG77">
        <v>0.1227</v>
      </c>
      <c r="AN77" s="3">
        <v>3897</v>
      </c>
      <c r="AO77" s="3">
        <v>1515</v>
      </c>
      <c r="AP77" s="3"/>
      <c r="AQ77" s="3"/>
      <c r="AR77" s="3"/>
      <c r="AS77" s="3"/>
    </row>
    <row r="78" spans="1:45">
      <c r="A78" s="2" t="s">
        <v>181</v>
      </c>
      <c r="B78" s="2" t="s">
        <v>186</v>
      </c>
      <c r="C78" s="16" t="s">
        <v>64</v>
      </c>
      <c r="D78" s="2" t="s">
        <v>154</v>
      </c>
      <c r="E78" s="2" t="s">
        <v>188</v>
      </c>
      <c r="F78" s="2">
        <v>23</v>
      </c>
      <c r="G78" s="2">
        <v>4532546</v>
      </c>
      <c r="H78" s="2">
        <v>3682072</v>
      </c>
      <c r="I78" s="2">
        <v>2.3E-2</v>
      </c>
      <c r="J78" s="2">
        <v>7.2499999999999995E-2</v>
      </c>
      <c r="K78" s="11">
        <v>0.03</v>
      </c>
      <c r="L78" s="2">
        <v>771347.6</v>
      </c>
      <c r="M78" s="2">
        <v>14693</v>
      </c>
      <c r="N78" s="2">
        <v>2728</v>
      </c>
      <c r="O78" s="2">
        <v>7134</v>
      </c>
      <c r="P78" s="2">
        <v>52.497999999999998</v>
      </c>
      <c r="Q78" s="2">
        <v>39.024000000000001</v>
      </c>
      <c r="R78" s="2">
        <v>9.2499999999999999E-2</v>
      </c>
      <c r="S78">
        <v>0.41</v>
      </c>
      <c r="AG78">
        <v>0.1333</v>
      </c>
      <c r="AN78" s="3">
        <v>2596</v>
      </c>
      <c r="AO78" s="3">
        <v>735</v>
      </c>
      <c r="AP78" s="3"/>
      <c r="AQ78" s="3">
        <v>305</v>
      </c>
      <c r="AR78" s="3">
        <v>12</v>
      </c>
      <c r="AS78" s="3"/>
    </row>
    <row r="79" spans="1:45">
      <c r="A79" s="2" t="s">
        <v>181</v>
      </c>
      <c r="B79" s="2" t="s">
        <v>186</v>
      </c>
      <c r="C79" s="15" t="s">
        <v>66</v>
      </c>
      <c r="D79" s="2" t="s">
        <v>154</v>
      </c>
      <c r="E79" s="2" t="s">
        <v>189</v>
      </c>
      <c r="F79" s="2">
        <v>23</v>
      </c>
      <c r="G79" s="2">
        <v>4263384</v>
      </c>
      <c r="H79" s="2">
        <v>3410264</v>
      </c>
      <c r="I79" s="2">
        <v>2.4E-2</v>
      </c>
      <c r="J79" s="2">
        <v>7.2499999999999995E-2</v>
      </c>
      <c r="K79" s="11">
        <v>0.03</v>
      </c>
      <c r="L79" s="2">
        <v>736263.8</v>
      </c>
      <c r="M79" s="2">
        <v>15679</v>
      </c>
      <c r="N79" s="3">
        <v>3209</v>
      </c>
      <c r="O79" s="2">
        <v>7148</v>
      </c>
      <c r="P79" s="2">
        <v>46.959000000000003</v>
      </c>
      <c r="Q79" s="2">
        <v>38.655000000000001</v>
      </c>
      <c r="R79" s="2">
        <v>8.2199999999999995E-2</v>
      </c>
      <c r="S79">
        <v>0.41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>
        <v>0.12189999999999999</v>
      </c>
      <c r="AH79" s="2"/>
      <c r="AI79" s="2"/>
      <c r="AJ79" s="2"/>
      <c r="AK79" s="2">
        <v>0.10249999999999999</v>
      </c>
      <c r="AL79" s="2">
        <v>24815</v>
      </c>
      <c r="AM79" s="2">
        <v>5</v>
      </c>
      <c r="AN79" s="3">
        <v>2379</v>
      </c>
      <c r="AO79" s="3">
        <v>592</v>
      </c>
      <c r="AP79" s="3"/>
      <c r="AQ79" s="3"/>
      <c r="AR79" s="3">
        <v>413</v>
      </c>
      <c r="AS79" s="3">
        <v>299</v>
      </c>
    </row>
    <row r="80" spans="1:45">
      <c r="A80" t="s">
        <v>190</v>
      </c>
      <c r="B80" t="s">
        <v>191</v>
      </c>
      <c r="C80" s="16" t="s">
        <v>61</v>
      </c>
      <c r="D80" t="s">
        <v>70</v>
      </c>
      <c r="E80" s="2" t="s">
        <v>192</v>
      </c>
      <c r="F80">
        <v>193</v>
      </c>
      <c r="G80">
        <v>60796.919000000002</v>
      </c>
      <c r="H80">
        <v>51542.84</v>
      </c>
      <c r="I80">
        <v>0.02</v>
      </c>
      <c r="J80">
        <v>0.06</v>
      </c>
      <c r="K80" s="11">
        <v>0.03</v>
      </c>
      <c r="L80">
        <v>0</v>
      </c>
      <c r="M80">
        <v>122</v>
      </c>
      <c r="O80">
        <v>179</v>
      </c>
      <c r="P80">
        <v>0</v>
      </c>
      <c r="Q80">
        <v>18.187999999999999</v>
      </c>
      <c r="AN80" s="3">
        <v>253</v>
      </c>
      <c r="AO80" s="3"/>
      <c r="AP80" s="3"/>
      <c r="AQ80" s="3"/>
      <c r="AR80" s="3">
        <v>69</v>
      </c>
      <c r="AS80" s="3"/>
    </row>
    <row r="81" spans="1:45">
      <c r="A81" s="2" t="s">
        <v>190</v>
      </c>
      <c r="B81" s="2" t="s">
        <v>191</v>
      </c>
      <c r="C81" s="16" t="s">
        <v>64</v>
      </c>
      <c r="D81" s="2" t="s">
        <v>70</v>
      </c>
      <c r="E81" s="2" t="s">
        <v>193</v>
      </c>
      <c r="F81" s="2">
        <v>193</v>
      </c>
      <c r="G81" s="2">
        <v>65469.05</v>
      </c>
      <c r="H81" s="2">
        <v>56953.13</v>
      </c>
      <c r="I81" s="2">
        <v>2.2499999999999999E-2</v>
      </c>
      <c r="J81" s="2">
        <v>5.6000000000000001E-2</v>
      </c>
      <c r="K81" s="11">
        <v>0.03</v>
      </c>
      <c r="L81" s="2">
        <v>0</v>
      </c>
      <c r="M81" s="2">
        <v>116</v>
      </c>
      <c r="N81" s="2">
        <v>1090</v>
      </c>
      <c r="O81" s="2">
        <v>183</v>
      </c>
      <c r="P81" s="2">
        <v>0</v>
      </c>
      <c r="Q81" s="2">
        <v>17.786000000000001</v>
      </c>
      <c r="R81" s="2"/>
      <c r="AN81" s="3">
        <v>10729</v>
      </c>
      <c r="AO81" s="3">
        <v>2100</v>
      </c>
      <c r="AP81" s="3"/>
      <c r="AQ81" s="3"/>
      <c r="AR81" s="3">
        <v>1147</v>
      </c>
      <c r="AS81" s="3">
        <v>11531</v>
      </c>
    </row>
    <row r="82" spans="1:45">
      <c r="A82" s="2" t="s">
        <v>190</v>
      </c>
      <c r="B82" s="2" t="s">
        <v>191</v>
      </c>
      <c r="C82" s="15" t="s">
        <v>66</v>
      </c>
      <c r="D82" s="2" t="s">
        <v>70</v>
      </c>
      <c r="E82" s="2" t="s">
        <v>194</v>
      </c>
      <c r="F82" s="2">
        <v>193</v>
      </c>
      <c r="G82" s="2">
        <v>62676.160000000003</v>
      </c>
      <c r="H82" s="2">
        <v>53606.21</v>
      </c>
      <c r="I82" s="2">
        <v>2.2499999999999999E-2</v>
      </c>
      <c r="J82" s="2">
        <v>0.06</v>
      </c>
      <c r="K82" s="11">
        <v>0.03</v>
      </c>
      <c r="L82" s="2">
        <v>0</v>
      </c>
      <c r="M82" s="2">
        <v>119</v>
      </c>
      <c r="N82" s="3">
        <v>977</v>
      </c>
      <c r="O82" s="2">
        <v>181</v>
      </c>
      <c r="P82" s="2">
        <v>0</v>
      </c>
      <c r="Q82" s="2">
        <v>17.859000000000002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H82" s="2"/>
      <c r="AI82" s="2"/>
      <c r="AJ82" s="2"/>
      <c r="AK82" s="2">
        <v>0</v>
      </c>
      <c r="AL82" s="2">
        <v>346</v>
      </c>
      <c r="AM82" s="2">
        <v>2</v>
      </c>
      <c r="AN82" s="3"/>
      <c r="AO82" s="3"/>
      <c r="AP82" s="3"/>
      <c r="AQ82" s="3"/>
      <c r="AR82" s="3">
        <v>393</v>
      </c>
      <c r="AS82" s="3"/>
    </row>
    <row r="83" spans="1:45">
      <c r="A83" s="2" t="s">
        <v>195</v>
      </c>
      <c r="B83" s="2" t="s">
        <v>196</v>
      </c>
      <c r="C83" s="15" t="s">
        <v>66</v>
      </c>
      <c r="D83" s="2" t="s">
        <v>70</v>
      </c>
      <c r="E83" s="2" t="s">
        <v>197</v>
      </c>
      <c r="F83" s="2">
        <v>165</v>
      </c>
      <c r="G83" s="2">
        <v>3026853</v>
      </c>
      <c r="H83" s="2">
        <v>1929171</v>
      </c>
      <c r="I83" s="2">
        <v>2.5000000000000001E-2</v>
      </c>
      <c r="J83" s="2">
        <v>7.3800000000000004E-2</v>
      </c>
      <c r="K83" s="11">
        <v>0.03</v>
      </c>
      <c r="L83" s="2">
        <v>224726.5</v>
      </c>
      <c r="M83" s="2">
        <v>5794</v>
      </c>
      <c r="N83" s="3">
        <v>6</v>
      </c>
      <c r="O83" s="2">
        <v>11871</v>
      </c>
      <c r="P83" s="2">
        <v>48.344000000000001</v>
      </c>
      <c r="Q83" s="2">
        <v>19.902999999999999</v>
      </c>
      <c r="R83" s="2">
        <v>0.22244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>
        <v>7.7100000000000002E-2</v>
      </c>
      <c r="AH83" s="2"/>
      <c r="AI83" s="2"/>
      <c r="AJ83" s="2"/>
      <c r="AK83" s="2">
        <v>0.04</v>
      </c>
      <c r="AL83" s="2">
        <v>20874</v>
      </c>
      <c r="AM83" s="2">
        <v>2</v>
      </c>
      <c r="AN83" s="3">
        <v>160</v>
      </c>
      <c r="AO83" s="3">
        <v>46</v>
      </c>
      <c r="AP83" s="3">
        <v>46</v>
      </c>
      <c r="AQ83" s="3">
        <v>1</v>
      </c>
      <c r="AR83" s="3">
        <v>2</v>
      </c>
      <c r="AS83" s="3"/>
    </row>
    <row r="84" spans="1:45">
      <c r="A84" s="2" t="s">
        <v>195</v>
      </c>
      <c r="B84" t="s">
        <v>196</v>
      </c>
      <c r="C84" s="16" t="s">
        <v>61</v>
      </c>
      <c r="D84" t="s">
        <v>70</v>
      </c>
      <c r="E84" s="2" t="s">
        <v>198</v>
      </c>
      <c r="F84">
        <v>165</v>
      </c>
      <c r="G84">
        <v>3065048.2710000002</v>
      </c>
      <c r="H84">
        <v>2036255.9680000001</v>
      </c>
      <c r="I84">
        <v>2.5000000000000001E-2</v>
      </c>
      <c r="J84">
        <v>7.3800000000000004E-2</v>
      </c>
      <c r="K84" s="11">
        <v>0.03</v>
      </c>
      <c r="L84">
        <v>246173.916</v>
      </c>
      <c r="M84">
        <v>5629</v>
      </c>
      <c r="O84">
        <v>11931</v>
      </c>
      <c r="P84">
        <v>46.774000000000001</v>
      </c>
      <c r="Q84">
        <v>20.143000000000001</v>
      </c>
      <c r="R84">
        <v>0.23344000000000001</v>
      </c>
      <c r="AG84">
        <v>7.6300000000000007E-2</v>
      </c>
      <c r="AN84" s="3"/>
      <c r="AO84" s="3"/>
      <c r="AP84" s="3"/>
      <c r="AQ84" s="3"/>
      <c r="AR84" s="3">
        <v>16</v>
      </c>
      <c r="AS84" s="3"/>
    </row>
    <row r="85" spans="1:45">
      <c r="A85" s="2" t="s">
        <v>195</v>
      </c>
      <c r="B85" s="2" t="s">
        <v>196</v>
      </c>
      <c r="C85" s="16" t="s">
        <v>64</v>
      </c>
      <c r="D85" s="2" t="s">
        <v>70</v>
      </c>
      <c r="E85" s="2" t="s">
        <v>199</v>
      </c>
      <c r="F85" s="2">
        <v>165</v>
      </c>
      <c r="G85" s="2">
        <v>2904583</v>
      </c>
      <c r="H85" s="2">
        <v>1748663</v>
      </c>
      <c r="I85" s="2">
        <v>2.5000000000000001E-2</v>
      </c>
      <c r="J85" s="11">
        <v>7.0000000000000007E-2</v>
      </c>
      <c r="K85" s="11">
        <v>0.03</v>
      </c>
      <c r="L85" s="2">
        <v>245732.1</v>
      </c>
      <c r="M85" s="2">
        <v>5106</v>
      </c>
      <c r="N85" s="2">
        <v>1813</v>
      </c>
      <c r="O85" s="2">
        <v>11220</v>
      </c>
      <c r="P85" s="2">
        <v>53.155000000000001</v>
      </c>
      <c r="Q85" s="2">
        <v>20.663</v>
      </c>
      <c r="R85" s="2">
        <v>0.22797000000000001</v>
      </c>
      <c r="AG85">
        <v>7.8200000000000006E-2</v>
      </c>
      <c r="AN85" s="3">
        <v>3632</v>
      </c>
      <c r="AO85" s="3">
        <v>1322</v>
      </c>
      <c r="AP85" s="3"/>
      <c r="AQ85" s="3"/>
      <c r="AR85" s="3">
        <v>124</v>
      </c>
      <c r="AS85" s="3"/>
    </row>
    <row r="86" spans="1:45">
      <c r="A86" s="2" t="s">
        <v>195</v>
      </c>
      <c r="B86" t="s">
        <v>200</v>
      </c>
      <c r="C86" s="16" t="s">
        <v>61</v>
      </c>
      <c r="D86" s="2" t="s">
        <v>62</v>
      </c>
      <c r="E86" s="2" t="s">
        <v>201</v>
      </c>
      <c r="F86">
        <v>154</v>
      </c>
      <c r="G86">
        <v>4033386.4879999999</v>
      </c>
      <c r="H86">
        <v>2994275.1910000001</v>
      </c>
      <c r="I86">
        <v>2.5000000000000001E-2</v>
      </c>
      <c r="J86">
        <v>6.7500000000000004E-2</v>
      </c>
      <c r="K86" s="11">
        <v>0.03</v>
      </c>
      <c r="L86">
        <v>145936.144</v>
      </c>
      <c r="M86">
        <v>2575</v>
      </c>
      <c r="O86">
        <v>8935</v>
      </c>
      <c r="P86">
        <v>56.966999999999999</v>
      </c>
      <c r="Q86">
        <v>32.328000000000003</v>
      </c>
      <c r="R86">
        <v>0.125</v>
      </c>
      <c r="AG86">
        <v>0.1739</v>
      </c>
      <c r="AN86" s="3">
        <v>21386</v>
      </c>
      <c r="AO86" s="3">
        <v>3964</v>
      </c>
      <c r="AP86" s="3">
        <v>3867</v>
      </c>
      <c r="AQ86" s="3">
        <v>121</v>
      </c>
      <c r="AR86" s="3">
        <v>20139</v>
      </c>
      <c r="AS86" s="3"/>
    </row>
    <row r="87" spans="1:45">
      <c r="A87" s="2" t="s">
        <v>195</v>
      </c>
      <c r="B87" s="2" t="s">
        <v>200</v>
      </c>
      <c r="C87" s="16" t="s">
        <v>64</v>
      </c>
      <c r="D87" s="2" t="s">
        <v>62</v>
      </c>
      <c r="E87" s="2" t="s">
        <v>202</v>
      </c>
      <c r="F87" s="2">
        <v>154</v>
      </c>
      <c r="G87" s="2">
        <v>3904132</v>
      </c>
      <c r="H87" s="2">
        <v>2601302</v>
      </c>
      <c r="I87" s="2">
        <v>2.5000000000000001E-2</v>
      </c>
      <c r="J87" s="2">
        <v>7.1499999999999994E-2</v>
      </c>
      <c r="K87" s="11">
        <v>0.03</v>
      </c>
      <c r="L87" s="2">
        <v>150648.29999999999</v>
      </c>
      <c r="M87" s="2">
        <v>2559</v>
      </c>
      <c r="N87" s="2">
        <v>6</v>
      </c>
      <c r="O87" s="2">
        <v>8874</v>
      </c>
      <c r="P87" s="2">
        <v>59.811</v>
      </c>
      <c r="Q87" s="2">
        <v>32.79</v>
      </c>
      <c r="R87" s="2">
        <v>0.1225</v>
      </c>
      <c r="AG87">
        <v>0.1772</v>
      </c>
      <c r="AN87" s="3">
        <v>10283</v>
      </c>
      <c r="AO87" s="3">
        <v>3404</v>
      </c>
      <c r="AP87" s="3">
        <v>3092</v>
      </c>
      <c r="AQ87" s="3"/>
      <c r="AR87" s="3">
        <v>801</v>
      </c>
      <c r="AS87" s="3"/>
    </row>
    <row r="88" spans="1:45">
      <c r="A88" s="2" t="s">
        <v>195</v>
      </c>
      <c r="B88" s="2" t="s">
        <v>200</v>
      </c>
      <c r="C88" s="15" t="s">
        <v>66</v>
      </c>
      <c r="D88" s="2" t="s">
        <v>62</v>
      </c>
      <c r="E88" s="2" t="s">
        <v>203</v>
      </c>
      <c r="F88" s="2">
        <v>154</v>
      </c>
      <c r="G88" s="2">
        <v>3999736</v>
      </c>
      <c r="H88" s="2">
        <v>2829811</v>
      </c>
      <c r="I88" s="2">
        <v>2.5000000000000001E-2</v>
      </c>
      <c r="J88" s="2">
        <v>6.7500000000000004E-2</v>
      </c>
      <c r="K88" s="11">
        <v>0.03</v>
      </c>
      <c r="L88" s="2">
        <v>133730.1</v>
      </c>
      <c r="M88" s="2">
        <v>2488</v>
      </c>
      <c r="N88" s="3">
        <v>1707</v>
      </c>
      <c r="O88" s="2">
        <v>8893</v>
      </c>
      <c r="P88" s="2">
        <v>60.305999999999997</v>
      </c>
      <c r="Q88" s="2">
        <v>32.637</v>
      </c>
      <c r="R88" s="2">
        <v>0.1225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>
        <v>0.1779</v>
      </c>
      <c r="AH88" s="2"/>
      <c r="AI88" s="2"/>
      <c r="AJ88" s="2"/>
      <c r="AK88" s="2">
        <v>6.9199999999999998E-2</v>
      </c>
      <c r="AL88" s="2">
        <v>12358</v>
      </c>
      <c r="AM88" s="2">
        <v>2</v>
      </c>
      <c r="AN88" s="3">
        <v>24293</v>
      </c>
      <c r="AO88" s="3">
        <v>3262</v>
      </c>
      <c r="AP88" s="3"/>
      <c r="AQ88" s="3"/>
      <c r="AR88" s="3">
        <v>10024</v>
      </c>
      <c r="AS88" s="3">
        <v>21260</v>
      </c>
    </row>
    <row r="89" spans="1:45">
      <c r="A89" s="2" t="s">
        <v>204</v>
      </c>
      <c r="B89" t="s">
        <v>205</v>
      </c>
      <c r="C89" s="16" t="s">
        <v>61</v>
      </c>
      <c r="D89" t="s">
        <v>154</v>
      </c>
      <c r="E89" s="2" t="s">
        <v>206</v>
      </c>
      <c r="F89">
        <v>24</v>
      </c>
      <c r="K89" s="11">
        <v>0.03</v>
      </c>
      <c r="AG89" s="6"/>
      <c r="AN89" s="3">
        <v>3507</v>
      </c>
      <c r="AO89" s="3"/>
      <c r="AP89" s="3"/>
      <c r="AQ89" s="3"/>
      <c r="AR89" s="3">
        <v>225</v>
      </c>
      <c r="AS89" s="3"/>
    </row>
    <row r="90" spans="1:45">
      <c r="A90" s="2" t="s">
        <v>204</v>
      </c>
      <c r="B90" s="2" t="s">
        <v>205</v>
      </c>
      <c r="C90" s="16" t="s">
        <v>64</v>
      </c>
      <c r="D90" s="2" t="s">
        <v>154</v>
      </c>
      <c r="E90" s="2" t="s">
        <v>207</v>
      </c>
      <c r="F90" s="2">
        <v>24</v>
      </c>
      <c r="G90" s="11"/>
      <c r="H90" s="11"/>
      <c r="I90" s="11">
        <v>2.5000000000000001E-2</v>
      </c>
      <c r="J90" s="11">
        <v>7.0000000000000007E-2</v>
      </c>
      <c r="K90" s="11">
        <v>0.03</v>
      </c>
      <c r="L90" s="11"/>
      <c r="M90" s="11"/>
      <c r="N90" s="2">
        <v>273</v>
      </c>
      <c r="O90" s="11"/>
      <c r="P90" s="11"/>
      <c r="Q90" s="11"/>
      <c r="R90" s="11"/>
      <c r="AG90" s="6"/>
      <c r="AN90" s="3">
        <v>1706</v>
      </c>
      <c r="AO90" s="3">
        <v>258</v>
      </c>
      <c r="AP90" s="3"/>
      <c r="AQ90" s="3">
        <v>145</v>
      </c>
      <c r="AR90" s="3">
        <v>27</v>
      </c>
      <c r="AS90" s="3">
        <v>116</v>
      </c>
    </row>
    <row r="91" spans="1:45">
      <c r="A91" s="2" t="s">
        <v>204</v>
      </c>
      <c r="B91" s="2" t="s">
        <v>205</v>
      </c>
      <c r="C91" s="15" t="s">
        <v>66</v>
      </c>
      <c r="D91" s="2" t="s">
        <v>154</v>
      </c>
      <c r="E91" s="2" t="s">
        <v>208</v>
      </c>
      <c r="F91" s="2">
        <v>24</v>
      </c>
      <c r="G91" s="11"/>
      <c r="H91" s="11"/>
      <c r="I91" s="11">
        <v>2.5000000000000001E-2</v>
      </c>
      <c r="J91" s="11">
        <v>7.0000000000000007E-2</v>
      </c>
      <c r="K91" s="11">
        <v>0.03</v>
      </c>
      <c r="L91" s="11"/>
      <c r="M91" s="11"/>
      <c r="N91" s="3">
        <v>264</v>
      </c>
      <c r="O91" s="11"/>
      <c r="P91" s="11"/>
      <c r="Q91" s="11"/>
      <c r="R91" s="11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6"/>
      <c r="AH91" s="2"/>
      <c r="AI91" s="2"/>
      <c r="AJ91" s="2"/>
      <c r="AK91" s="2">
        <v>0</v>
      </c>
      <c r="AL91" s="2"/>
      <c r="AM91" s="2">
        <v>5</v>
      </c>
      <c r="AN91" s="3">
        <v>7552</v>
      </c>
      <c r="AO91" s="3"/>
      <c r="AP91" s="3"/>
      <c r="AQ91" s="3"/>
      <c r="AR91" s="3">
        <v>1710</v>
      </c>
      <c r="AS91" s="3"/>
    </row>
    <row r="92" spans="1:45">
      <c r="A92" t="s">
        <v>209</v>
      </c>
      <c r="B92" s="2" t="s">
        <v>210</v>
      </c>
      <c r="C92" s="16" t="s">
        <v>61</v>
      </c>
      <c r="D92" t="s">
        <v>80</v>
      </c>
      <c r="E92" t="s">
        <v>211</v>
      </c>
      <c r="F92" s="2">
        <v>21</v>
      </c>
      <c r="G92" s="2">
        <v>75095.34</v>
      </c>
      <c r="H92" s="2">
        <v>58589.68</v>
      </c>
      <c r="I92" s="2">
        <v>2.75E-2</v>
      </c>
      <c r="J92" s="4"/>
      <c r="K92" s="11">
        <v>0.03</v>
      </c>
      <c r="L92" s="2">
        <v>12669.72</v>
      </c>
      <c r="M92" s="2">
        <v>195</v>
      </c>
      <c r="N92" s="2">
        <v>12</v>
      </c>
      <c r="O92" s="2">
        <v>116</v>
      </c>
      <c r="P92" s="2">
        <v>37.65</v>
      </c>
      <c r="Q92" s="2">
        <v>66.099999999999994</v>
      </c>
      <c r="R92" s="2">
        <v>0.14199999999999999</v>
      </c>
      <c r="AG92" s="2">
        <v>0.17580000000000001</v>
      </c>
      <c r="AN92" s="3">
        <v>3719</v>
      </c>
      <c r="AO92" s="3">
        <v>1163</v>
      </c>
      <c r="AP92" s="3"/>
      <c r="AQ92" s="3">
        <v>107</v>
      </c>
      <c r="AR92" s="3">
        <v>241</v>
      </c>
      <c r="AS92" s="3">
        <v>442</v>
      </c>
    </row>
    <row r="93" spans="1:45">
      <c r="A93" t="s">
        <v>209</v>
      </c>
      <c r="B93" s="2" t="s">
        <v>212</v>
      </c>
      <c r="C93" s="16" t="s">
        <v>61</v>
      </c>
      <c r="D93" t="s">
        <v>75</v>
      </c>
      <c r="E93" t="s">
        <v>213</v>
      </c>
      <c r="F93" s="2">
        <v>73</v>
      </c>
      <c r="G93" s="2">
        <v>40526.31</v>
      </c>
      <c r="H93" s="2">
        <v>24874</v>
      </c>
      <c r="I93" s="2">
        <v>2.5000000000000001E-2</v>
      </c>
      <c r="J93" s="4"/>
      <c r="K93" s="11">
        <v>0.03</v>
      </c>
      <c r="L93" s="2">
        <v>7966.0820000000003</v>
      </c>
      <c r="M93" s="2">
        <v>119</v>
      </c>
      <c r="N93" s="2">
        <v>5</v>
      </c>
      <c r="O93" s="2">
        <v>95</v>
      </c>
      <c r="P93" s="11"/>
      <c r="Q93" s="11"/>
      <c r="R93" s="11"/>
      <c r="AG93" s="2"/>
      <c r="AN93" s="3">
        <v>8966</v>
      </c>
      <c r="AO93" s="3">
        <v>1290</v>
      </c>
      <c r="AP93" s="3"/>
      <c r="AQ93" s="3"/>
      <c r="AR93" s="3">
        <v>3372</v>
      </c>
      <c r="AS93" s="3">
        <v>2855</v>
      </c>
    </row>
    <row r="94" spans="1:45">
      <c r="A94" t="s">
        <v>214</v>
      </c>
      <c r="B94" s="2" t="s">
        <v>215</v>
      </c>
      <c r="C94" s="16" t="s">
        <v>61</v>
      </c>
      <c r="D94" t="s">
        <v>62</v>
      </c>
      <c r="E94" t="s">
        <v>216</v>
      </c>
      <c r="F94" s="2">
        <v>39</v>
      </c>
      <c r="G94" s="2">
        <v>1194731</v>
      </c>
      <c r="H94" s="2">
        <v>1437725</v>
      </c>
      <c r="I94" s="2">
        <v>0.03</v>
      </c>
      <c r="J94" s="4"/>
      <c r="K94" s="11">
        <v>0.03</v>
      </c>
      <c r="L94" s="2">
        <v>110972</v>
      </c>
      <c r="M94" s="2">
        <v>1043</v>
      </c>
      <c r="N94" s="2">
        <v>115</v>
      </c>
      <c r="O94" s="2">
        <v>1066</v>
      </c>
      <c r="P94" s="2">
        <v>40</v>
      </c>
      <c r="Q94" s="2">
        <v>67</v>
      </c>
      <c r="R94" s="2">
        <v>0.19589999999999999</v>
      </c>
      <c r="AG94" s="2">
        <v>0.32500000000000001</v>
      </c>
      <c r="AN94" s="3">
        <v>15979</v>
      </c>
      <c r="AO94" s="3">
        <v>768</v>
      </c>
      <c r="AP94" s="3" t="s">
        <v>485</v>
      </c>
      <c r="AQ94" s="3" t="s">
        <v>485</v>
      </c>
      <c r="AR94" s="3">
        <v>1934</v>
      </c>
      <c r="AS94" s="3">
        <v>10525</v>
      </c>
    </row>
    <row r="95" spans="1:45">
      <c r="A95" s="2" t="s">
        <v>217</v>
      </c>
      <c r="B95" t="s">
        <v>218</v>
      </c>
      <c r="C95" s="16" t="s">
        <v>61</v>
      </c>
      <c r="D95" s="2" t="s">
        <v>75</v>
      </c>
      <c r="E95" s="2" t="s">
        <v>219</v>
      </c>
      <c r="F95">
        <v>194</v>
      </c>
      <c r="G95">
        <v>58792.713000000003</v>
      </c>
      <c r="H95">
        <v>50093.025999999998</v>
      </c>
      <c r="I95">
        <v>3.7499999999999999E-2</v>
      </c>
      <c r="J95">
        <v>7.0000000000000007E-2</v>
      </c>
      <c r="K95" s="11">
        <v>0.03</v>
      </c>
      <c r="L95">
        <v>8247.5709999999999</v>
      </c>
      <c r="M95">
        <v>153</v>
      </c>
      <c r="O95">
        <v>108</v>
      </c>
      <c r="P95">
        <v>53.905999999999999</v>
      </c>
      <c r="Q95">
        <v>33.576000000000001</v>
      </c>
      <c r="R95">
        <v>0.16885</v>
      </c>
      <c r="AN95" s="3">
        <v>154116</v>
      </c>
      <c r="AO95" s="3" t="s">
        <v>485</v>
      </c>
      <c r="AP95" s="3" t="s">
        <v>485</v>
      </c>
      <c r="AQ95" s="3" t="s">
        <v>485</v>
      </c>
      <c r="AR95" s="3">
        <v>21389</v>
      </c>
      <c r="AS95" s="3">
        <v>28483</v>
      </c>
    </row>
    <row r="96" spans="1:45">
      <c r="A96" s="2" t="s">
        <v>217</v>
      </c>
      <c r="B96" s="2" t="s">
        <v>218</v>
      </c>
      <c r="C96" s="16" t="s">
        <v>64</v>
      </c>
      <c r="D96" s="2" t="s">
        <v>75</v>
      </c>
      <c r="E96" s="2" t="s">
        <v>220</v>
      </c>
      <c r="F96" s="2">
        <v>194</v>
      </c>
      <c r="G96" s="2">
        <v>61765.1</v>
      </c>
      <c r="H96" s="2">
        <v>55227.42</v>
      </c>
      <c r="I96" s="2">
        <v>3.7499999999999999E-2</v>
      </c>
      <c r="J96" s="2">
        <v>7.0000000000000007E-2</v>
      </c>
      <c r="K96" s="11">
        <v>0.03</v>
      </c>
      <c r="L96" s="2">
        <v>8506.1810000000005</v>
      </c>
      <c r="M96" s="2">
        <v>153</v>
      </c>
      <c r="N96" s="2">
        <v>141</v>
      </c>
      <c r="O96" s="2">
        <v>114</v>
      </c>
      <c r="P96" s="2">
        <v>55.595999999999997</v>
      </c>
      <c r="Q96" s="2">
        <v>35.676000000000002</v>
      </c>
      <c r="R96" s="2"/>
      <c r="AN96" s="3">
        <v>8117</v>
      </c>
      <c r="AO96" s="3"/>
      <c r="AP96" s="3"/>
      <c r="AQ96" s="3"/>
      <c r="AR96" s="3">
        <v>13410</v>
      </c>
      <c r="AS96" s="3">
        <v>8174</v>
      </c>
    </row>
    <row r="97" spans="1:45">
      <c r="A97" s="2" t="s">
        <v>217</v>
      </c>
      <c r="B97" s="2" t="s">
        <v>218</v>
      </c>
      <c r="C97" s="15" t="s">
        <v>66</v>
      </c>
      <c r="D97" s="2" t="s">
        <v>75</v>
      </c>
      <c r="E97" s="2" t="s">
        <v>221</v>
      </c>
      <c r="F97" s="2">
        <v>194</v>
      </c>
      <c r="G97" s="2">
        <v>60135.86</v>
      </c>
      <c r="H97" s="2">
        <v>52951.94</v>
      </c>
      <c r="I97" s="2">
        <v>3.7499999999999999E-2</v>
      </c>
      <c r="J97" s="2">
        <v>7.0000000000000007E-2</v>
      </c>
      <c r="K97" s="11">
        <v>0.03</v>
      </c>
      <c r="L97" s="2">
        <v>8424.223</v>
      </c>
      <c r="M97" s="2">
        <v>154</v>
      </c>
      <c r="N97" s="3">
        <v>11</v>
      </c>
      <c r="O97" s="2">
        <v>112</v>
      </c>
      <c r="P97" s="2">
        <v>54.703000000000003</v>
      </c>
      <c r="Q97" s="2">
        <v>34.752000000000002</v>
      </c>
      <c r="R97" s="2">
        <v>0.16885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H97" s="2"/>
      <c r="AI97" s="2"/>
      <c r="AJ97" s="2"/>
      <c r="AK97" s="2">
        <v>6.3149999999999998E-2</v>
      </c>
      <c r="AL97" s="2">
        <v>272</v>
      </c>
      <c r="AM97" s="2">
        <v>2</v>
      </c>
      <c r="AN97" s="3">
        <v>4993</v>
      </c>
      <c r="AO97" s="3">
        <v>645</v>
      </c>
      <c r="AP97" s="3" t="s">
        <v>485</v>
      </c>
      <c r="AQ97" s="3">
        <v>354</v>
      </c>
      <c r="AR97" s="3">
        <v>68</v>
      </c>
      <c r="AS97" s="3">
        <v>35</v>
      </c>
    </row>
    <row r="98" spans="1:45">
      <c r="A98" t="s">
        <v>222</v>
      </c>
      <c r="B98" t="s">
        <v>223</v>
      </c>
      <c r="C98" s="16" t="s">
        <v>61</v>
      </c>
      <c r="D98" t="s">
        <v>70</v>
      </c>
      <c r="E98" s="2" t="s">
        <v>224</v>
      </c>
      <c r="F98">
        <v>170</v>
      </c>
      <c r="G98">
        <v>1476269</v>
      </c>
      <c r="H98">
        <v>1079688.925</v>
      </c>
      <c r="I98">
        <v>2.5000000000000001E-2</v>
      </c>
      <c r="J98">
        <v>7.4999999999999997E-2</v>
      </c>
      <c r="K98" s="11">
        <v>0.03</v>
      </c>
      <c r="L98">
        <v>145103.092</v>
      </c>
      <c r="M98">
        <v>2078</v>
      </c>
      <c r="O98">
        <v>3178</v>
      </c>
      <c r="P98">
        <v>69.828000000000003</v>
      </c>
      <c r="Q98">
        <v>35.484000000000002</v>
      </c>
      <c r="R98">
        <v>0.314</v>
      </c>
      <c r="AG98">
        <v>0.14634</v>
      </c>
      <c r="AN98" s="3">
        <v>33416</v>
      </c>
      <c r="AO98" s="3">
        <v>451</v>
      </c>
      <c r="AP98" s="3" t="s">
        <v>485</v>
      </c>
      <c r="AQ98" s="3">
        <v>840</v>
      </c>
      <c r="AR98" s="3">
        <v>491</v>
      </c>
      <c r="AS98" s="3">
        <v>1940</v>
      </c>
    </row>
    <row r="99" spans="1:45">
      <c r="A99" s="2" t="s">
        <v>222</v>
      </c>
      <c r="B99" s="2" t="s">
        <v>223</v>
      </c>
      <c r="C99" s="16" t="s">
        <v>64</v>
      </c>
      <c r="D99" s="2" t="s">
        <v>70</v>
      </c>
      <c r="E99" s="2" t="s">
        <v>225</v>
      </c>
      <c r="F99" s="2">
        <v>170</v>
      </c>
      <c r="G99" s="2">
        <v>1593662</v>
      </c>
      <c r="H99" s="2">
        <v>1059232</v>
      </c>
      <c r="I99" s="2">
        <v>2.4E-2</v>
      </c>
      <c r="J99" s="2">
        <v>7.2499999999999995E-2</v>
      </c>
      <c r="K99" s="11">
        <v>0.03</v>
      </c>
      <c r="L99" s="2">
        <v>147405</v>
      </c>
      <c r="M99" s="2">
        <v>2122</v>
      </c>
      <c r="N99" s="2">
        <v>7059</v>
      </c>
      <c r="O99" s="2">
        <v>3231</v>
      </c>
      <c r="P99" s="2">
        <v>69.465000000000003</v>
      </c>
      <c r="Q99" s="2">
        <v>36.314</v>
      </c>
      <c r="R99" s="2">
        <v>0.36840000000000001</v>
      </c>
      <c r="AG99">
        <v>0.15089</v>
      </c>
      <c r="AN99" s="3">
        <v>15979</v>
      </c>
      <c r="AO99" s="3">
        <v>768</v>
      </c>
      <c r="AP99" s="3"/>
      <c r="AQ99" s="3"/>
      <c r="AR99" s="3">
        <v>1934</v>
      </c>
      <c r="AS99" s="3">
        <v>10525</v>
      </c>
    </row>
    <row r="100" spans="1:45">
      <c r="A100" s="2" t="s">
        <v>222</v>
      </c>
      <c r="B100" s="2" t="s">
        <v>223</v>
      </c>
      <c r="C100" s="15" t="s">
        <v>66</v>
      </c>
      <c r="D100" s="2" t="s">
        <v>70</v>
      </c>
      <c r="E100" s="2" t="s">
        <v>226</v>
      </c>
      <c r="F100" s="2">
        <v>170</v>
      </c>
      <c r="G100" s="2">
        <v>1503521</v>
      </c>
      <c r="H100" s="2">
        <v>1068807</v>
      </c>
      <c r="I100" s="2">
        <v>2.5000000000000001E-2</v>
      </c>
      <c r="J100" s="2">
        <v>7.3749999999999996E-2</v>
      </c>
      <c r="K100" s="11">
        <v>0.03</v>
      </c>
      <c r="L100" s="2">
        <v>147708.6</v>
      </c>
      <c r="M100" s="2">
        <v>2110</v>
      </c>
      <c r="N100" s="3">
        <v>6652</v>
      </c>
      <c r="O100" s="2">
        <v>3193</v>
      </c>
      <c r="P100" s="2">
        <v>70.004000000000005</v>
      </c>
      <c r="Q100" s="2">
        <v>36.417999999999999</v>
      </c>
      <c r="R100" s="2">
        <v>0.33660000000000001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>
        <v>0.14168</v>
      </c>
      <c r="AH100" s="2"/>
      <c r="AI100" s="2"/>
      <c r="AJ100" s="2"/>
      <c r="AK100" s="2">
        <v>9.4390000000000002E-2</v>
      </c>
      <c r="AL100" s="2">
        <v>5567</v>
      </c>
      <c r="AM100" s="2">
        <v>2</v>
      </c>
      <c r="AN100" s="3">
        <v>154116</v>
      </c>
      <c r="AO100" s="3"/>
      <c r="AP100" s="3"/>
      <c r="AQ100" s="3"/>
      <c r="AR100" s="3">
        <v>21389</v>
      </c>
      <c r="AS100" s="3">
        <v>28483</v>
      </c>
    </row>
    <row r="101" spans="1:45">
      <c r="A101" s="2" t="s">
        <v>227</v>
      </c>
      <c r="B101" t="s">
        <v>228</v>
      </c>
      <c r="C101" s="16" t="s">
        <v>61</v>
      </c>
      <c r="D101" s="2" t="s">
        <v>75</v>
      </c>
      <c r="E101" s="2" t="s">
        <v>229</v>
      </c>
      <c r="F101">
        <v>30</v>
      </c>
      <c r="G101">
        <v>4948133</v>
      </c>
      <c r="H101">
        <v>4027079</v>
      </c>
      <c r="I101">
        <v>0.03</v>
      </c>
      <c r="K101" s="11">
        <v>0.03</v>
      </c>
      <c r="L101">
        <v>260301</v>
      </c>
      <c r="M101">
        <v>4041</v>
      </c>
      <c r="O101">
        <v>3307</v>
      </c>
      <c r="P101">
        <v>64.415000000000006</v>
      </c>
      <c r="Q101">
        <v>51.207999999999998</v>
      </c>
      <c r="R101">
        <v>0.37159999999999999</v>
      </c>
      <c r="AG101">
        <v>0.27589999999999998</v>
      </c>
      <c r="AN101" s="3" t="s">
        <v>485</v>
      </c>
      <c r="AO101" s="3" t="s">
        <v>485</v>
      </c>
      <c r="AP101" s="3" t="s">
        <v>485</v>
      </c>
      <c r="AQ101" s="3" t="s">
        <v>485</v>
      </c>
      <c r="AR101" s="3">
        <v>13410</v>
      </c>
      <c r="AS101" s="3">
        <v>8174</v>
      </c>
    </row>
    <row r="102" spans="1:45">
      <c r="A102" s="2" t="s">
        <v>227</v>
      </c>
      <c r="B102" s="2" t="s">
        <v>228</v>
      </c>
      <c r="C102" s="16" t="s">
        <v>64</v>
      </c>
      <c r="D102" s="2" t="s">
        <v>75</v>
      </c>
      <c r="E102" s="2" t="s">
        <v>230</v>
      </c>
      <c r="F102" s="2">
        <v>30</v>
      </c>
      <c r="G102" s="2">
        <v>4932307</v>
      </c>
      <c r="H102" s="2">
        <v>4251851</v>
      </c>
      <c r="I102" s="2">
        <v>2.5000000000000001E-2</v>
      </c>
      <c r="J102" s="2">
        <v>7.2499999999999995E-2</v>
      </c>
      <c r="K102" s="11">
        <v>0.03</v>
      </c>
      <c r="L102" s="2">
        <v>259235</v>
      </c>
      <c r="M102" s="2">
        <v>3703</v>
      </c>
      <c r="N102" s="2">
        <v>49</v>
      </c>
      <c r="O102" s="2">
        <v>3410</v>
      </c>
      <c r="P102" s="2">
        <v>65.983000000000004</v>
      </c>
      <c r="Q102" s="2">
        <v>52.508000000000003</v>
      </c>
      <c r="R102" s="2">
        <v>0.308</v>
      </c>
      <c r="AG102">
        <v>0.25390000000000001</v>
      </c>
      <c r="AN102" s="3">
        <v>4993</v>
      </c>
      <c r="AO102" s="3">
        <v>645</v>
      </c>
      <c r="AP102" s="3" t="s">
        <v>485</v>
      </c>
      <c r="AQ102" s="3">
        <v>354</v>
      </c>
      <c r="AR102" s="8">
        <v>68</v>
      </c>
      <c r="AS102" s="8">
        <v>35</v>
      </c>
    </row>
    <row r="103" spans="1:45">
      <c r="A103" s="2" t="s">
        <v>227</v>
      </c>
      <c r="B103" s="2" t="s">
        <v>228</v>
      </c>
      <c r="C103" s="15" t="s">
        <v>66</v>
      </c>
      <c r="D103" s="2" t="s">
        <v>75</v>
      </c>
      <c r="E103" s="2" t="s">
        <v>231</v>
      </c>
      <c r="F103" s="2">
        <v>30</v>
      </c>
      <c r="G103" s="2">
        <v>5057759</v>
      </c>
      <c r="H103" s="2">
        <v>4190934</v>
      </c>
      <c r="I103" s="2">
        <v>0.03</v>
      </c>
      <c r="J103" s="2">
        <v>7.2499999999999995E-2</v>
      </c>
      <c r="K103" s="11">
        <v>0.03</v>
      </c>
      <c r="L103" s="2">
        <v>272498</v>
      </c>
      <c r="M103" s="2">
        <v>3914</v>
      </c>
      <c r="N103" s="3">
        <v>43</v>
      </c>
      <c r="O103" s="2">
        <v>3526</v>
      </c>
      <c r="P103" s="2">
        <v>69.620999999999995</v>
      </c>
      <c r="Q103" s="2">
        <v>51.847999999999999</v>
      </c>
      <c r="R103" s="2">
        <v>0.36249999999999999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>
        <v>0.27650000000000002</v>
      </c>
      <c r="AH103" s="2"/>
      <c r="AI103" s="2"/>
      <c r="AJ103" s="2"/>
      <c r="AK103" s="2">
        <v>5.0500000000000003E-2</v>
      </c>
      <c r="AL103" s="2">
        <v>7451</v>
      </c>
      <c r="AM103" s="2">
        <v>2</v>
      </c>
      <c r="AN103" s="3">
        <v>33416</v>
      </c>
      <c r="AO103" s="3">
        <v>451</v>
      </c>
      <c r="AP103" s="3" t="s">
        <v>485</v>
      </c>
      <c r="AQ103" s="3">
        <v>840</v>
      </c>
      <c r="AR103" s="8">
        <v>491</v>
      </c>
      <c r="AS103" s="8">
        <v>1940</v>
      </c>
    </row>
    <row r="104" spans="1:45">
      <c r="A104" s="2" t="s">
        <v>227</v>
      </c>
      <c r="B104" s="2" t="s">
        <v>232</v>
      </c>
      <c r="C104" s="15" t="s">
        <v>66</v>
      </c>
      <c r="D104" s="2" t="s">
        <v>70</v>
      </c>
      <c r="E104" s="2" t="s">
        <v>233</v>
      </c>
      <c r="F104" s="2">
        <v>204</v>
      </c>
      <c r="G104" s="2">
        <v>5091145</v>
      </c>
      <c r="H104" s="2">
        <v>3019255</v>
      </c>
      <c r="I104" s="2">
        <v>2.2499999999999999E-2</v>
      </c>
      <c r="J104" s="2">
        <v>7.0000000000000007E-2</v>
      </c>
      <c r="K104" s="11">
        <v>0.03</v>
      </c>
      <c r="L104" s="2">
        <v>636463</v>
      </c>
      <c r="M104" s="2">
        <v>11507</v>
      </c>
      <c r="N104" s="3">
        <v>82</v>
      </c>
      <c r="O104" s="2">
        <v>11110</v>
      </c>
      <c r="P104" s="2">
        <v>55.311</v>
      </c>
      <c r="Q104" s="2">
        <v>23.609000000000002</v>
      </c>
      <c r="R104" s="2">
        <v>0.28804000000000002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>
        <v>0.114</v>
      </c>
      <c r="AH104" s="2"/>
      <c r="AI104" s="2"/>
      <c r="AJ104" s="2"/>
      <c r="AK104" s="2">
        <v>3.015E-2</v>
      </c>
      <c r="AL104" s="2">
        <v>26226</v>
      </c>
      <c r="AM104" s="2">
        <v>2</v>
      </c>
      <c r="AN104" s="3">
        <v>3880</v>
      </c>
      <c r="AO104" s="3">
        <v>1235</v>
      </c>
      <c r="AP104" s="3"/>
      <c r="AQ104" s="3"/>
      <c r="AR104" s="3">
        <v>156</v>
      </c>
      <c r="AS104" s="3"/>
    </row>
    <row r="105" spans="1:45">
      <c r="A105" s="2" t="s">
        <v>227</v>
      </c>
      <c r="B105" t="s">
        <v>232</v>
      </c>
      <c r="C105" s="16" t="s">
        <v>61</v>
      </c>
      <c r="D105" t="s">
        <v>70</v>
      </c>
      <c r="E105" s="2" t="s">
        <v>234</v>
      </c>
      <c r="F105">
        <v>204</v>
      </c>
      <c r="G105">
        <v>4982008</v>
      </c>
      <c r="H105">
        <v>2874585</v>
      </c>
      <c r="I105">
        <v>2.2499999999999999E-2</v>
      </c>
      <c r="J105">
        <v>7.0000000000000007E-2</v>
      </c>
      <c r="K105" s="11">
        <v>0.03</v>
      </c>
      <c r="L105">
        <v>624266</v>
      </c>
      <c r="M105">
        <v>11880</v>
      </c>
      <c r="O105">
        <v>10834</v>
      </c>
      <c r="P105">
        <v>52.548000000000002</v>
      </c>
      <c r="Q105">
        <v>23.428000000000001</v>
      </c>
      <c r="R105">
        <v>0.28783999999999998</v>
      </c>
      <c r="AG105">
        <v>0.1132</v>
      </c>
      <c r="AN105" s="3"/>
      <c r="AO105" s="3"/>
      <c r="AP105" s="3"/>
      <c r="AQ105" s="3"/>
      <c r="AR105" s="3">
        <v>19</v>
      </c>
      <c r="AS105" s="3"/>
    </row>
    <row r="106" spans="1:45">
      <c r="A106" s="2" t="s">
        <v>227</v>
      </c>
      <c r="B106" s="2" t="s">
        <v>232</v>
      </c>
      <c r="C106" s="16" t="s">
        <v>64</v>
      </c>
      <c r="D106" s="2" t="s">
        <v>70</v>
      </c>
      <c r="E106" s="2" t="s">
        <v>235</v>
      </c>
      <c r="F106" s="2">
        <v>204</v>
      </c>
      <c r="G106" s="2">
        <v>5196347</v>
      </c>
      <c r="H106" s="2">
        <v>3074339</v>
      </c>
      <c r="I106" s="2">
        <v>2.2499999999999999E-2</v>
      </c>
      <c r="J106" s="2">
        <v>7.0000000000000007E-2</v>
      </c>
      <c r="K106" s="11">
        <v>0.03</v>
      </c>
      <c r="L106" s="2">
        <v>657876</v>
      </c>
      <c r="M106" s="2">
        <v>11594</v>
      </c>
      <c r="N106" s="2">
        <v>83</v>
      </c>
      <c r="O106" s="2">
        <v>11373</v>
      </c>
      <c r="P106" s="2">
        <v>56.743000000000002</v>
      </c>
      <c r="Q106" s="2">
        <v>23.683</v>
      </c>
      <c r="R106" s="2">
        <v>0.27809</v>
      </c>
      <c r="AG106">
        <v>0.1144</v>
      </c>
      <c r="AN106" s="3">
        <v>2584</v>
      </c>
      <c r="AO106" s="3"/>
      <c r="AP106" s="3"/>
      <c r="AQ106" s="3"/>
      <c r="AR106" s="3">
        <v>207</v>
      </c>
      <c r="AS106" s="3">
        <v>461</v>
      </c>
    </row>
    <row r="107" spans="1:45">
      <c r="A107" s="2" t="s">
        <v>227</v>
      </c>
      <c r="B107" s="2" t="s">
        <v>236</v>
      </c>
      <c r="C107" s="15" t="s">
        <v>66</v>
      </c>
      <c r="D107" s="2" t="s">
        <v>80</v>
      </c>
      <c r="E107" s="2" t="s">
        <v>237</v>
      </c>
      <c r="F107" s="2">
        <v>208</v>
      </c>
      <c r="G107" s="2">
        <v>6655143</v>
      </c>
      <c r="H107" s="2">
        <v>5434933</v>
      </c>
      <c r="I107" s="2">
        <v>2.75E-2</v>
      </c>
      <c r="J107" s="2">
        <v>7.0000000000000007E-2</v>
      </c>
      <c r="K107" s="11">
        <v>0.03</v>
      </c>
      <c r="L107" s="2">
        <v>454696</v>
      </c>
      <c r="M107" s="2">
        <v>5282</v>
      </c>
      <c r="N107" s="3">
        <v>196</v>
      </c>
      <c r="O107" s="2">
        <v>4494</v>
      </c>
      <c r="P107" s="2">
        <v>86.084000000000003</v>
      </c>
      <c r="Q107" s="2">
        <v>52.097999999999999</v>
      </c>
      <c r="R107" s="2">
        <v>0.31840000000000002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>
        <v>0.2397</v>
      </c>
      <c r="AH107" s="2"/>
      <c r="AI107" s="2"/>
      <c r="AJ107" s="2"/>
      <c r="AK107" s="2">
        <v>0.105</v>
      </c>
      <c r="AL107" s="2">
        <v>9819</v>
      </c>
      <c r="AM107" s="2">
        <v>2</v>
      </c>
      <c r="AN107" s="3">
        <v>3798</v>
      </c>
      <c r="AO107" s="3">
        <v>231</v>
      </c>
      <c r="AP107" s="3"/>
      <c r="AQ107" s="3"/>
      <c r="AR107" s="3">
        <v>521</v>
      </c>
      <c r="AS107" s="3">
        <v>2590</v>
      </c>
    </row>
    <row r="108" spans="1:45">
      <c r="A108" s="2" t="s">
        <v>227</v>
      </c>
      <c r="B108" t="s">
        <v>236</v>
      </c>
      <c r="C108" s="16" t="s">
        <v>61</v>
      </c>
      <c r="D108" s="2" t="s">
        <v>80</v>
      </c>
      <c r="E108" s="2" t="s">
        <v>238</v>
      </c>
      <c r="F108">
        <v>208</v>
      </c>
      <c r="G108">
        <v>6463872</v>
      </c>
      <c r="H108">
        <v>5128835</v>
      </c>
      <c r="I108">
        <v>2.75E-2</v>
      </c>
      <c r="K108" s="11">
        <v>0.03</v>
      </c>
      <c r="L108">
        <v>438396</v>
      </c>
      <c r="M108">
        <v>5226</v>
      </c>
      <c r="N108" s="2">
        <v>29</v>
      </c>
      <c r="O108">
        <v>4367</v>
      </c>
      <c r="P108">
        <v>83.887</v>
      </c>
      <c r="Q108">
        <v>51.814</v>
      </c>
      <c r="R108">
        <v>0.31819999999999998</v>
      </c>
      <c r="AG108">
        <v>0.24010000000000001</v>
      </c>
      <c r="AN108" s="3">
        <v>702</v>
      </c>
      <c r="AO108" s="3">
        <v>182</v>
      </c>
      <c r="AP108" s="3"/>
      <c r="AQ108" s="3"/>
      <c r="AR108" s="3"/>
      <c r="AS108" s="3"/>
    </row>
    <row r="109" spans="1:45">
      <c r="A109" s="2" t="s">
        <v>227</v>
      </c>
      <c r="B109" s="2" t="s">
        <v>236</v>
      </c>
      <c r="C109" s="16" t="s">
        <v>64</v>
      </c>
      <c r="D109" s="2" t="s">
        <v>80</v>
      </c>
      <c r="E109" s="2" t="s">
        <v>239</v>
      </c>
      <c r="F109" s="2">
        <v>208</v>
      </c>
      <c r="G109" s="2">
        <v>6835682</v>
      </c>
      <c r="H109" s="2">
        <v>5631533</v>
      </c>
      <c r="I109" s="2">
        <v>2.75E-2</v>
      </c>
      <c r="J109" s="2">
        <v>7.0000000000000007E-2</v>
      </c>
      <c r="K109" s="11">
        <v>0.03</v>
      </c>
      <c r="L109" s="2">
        <v>471903</v>
      </c>
      <c r="M109" s="2">
        <v>5319</v>
      </c>
      <c r="N109" s="2">
        <v>156</v>
      </c>
      <c r="O109" s="2">
        <v>4622</v>
      </c>
      <c r="P109" s="2">
        <v>88.72</v>
      </c>
      <c r="Q109" s="2">
        <v>52.674999999999997</v>
      </c>
      <c r="R109" s="2">
        <v>0.31919999999999998</v>
      </c>
      <c r="AG109">
        <v>0.23980000000000001</v>
      </c>
      <c r="AN109" s="3"/>
      <c r="AO109" s="3"/>
      <c r="AP109" s="3"/>
      <c r="AQ109" s="3"/>
      <c r="AR109" s="3"/>
      <c r="AS109" s="3"/>
    </row>
    <row r="110" spans="1:45">
      <c r="A110" t="s">
        <v>240</v>
      </c>
      <c r="B110" t="s">
        <v>241</v>
      </c>
      <c r="C110" s="16" t="s">
        <v>61</v>
      </c>
      <c r="D110" t="s">
        <v>70</v>
      </c>
      <c r="E110" s="2" t="s">
        <v>242</v>
      </c>
      <c r="F110">
        <v>159</v>
      </c>
      <c r="G110">
        <v>3196680.5159999998</v>
      </c>
      <c r="H110">
        <v>2021056.3060000001</v>
      </c>
      <c r="I110">
        <v>2.75E-2</v>
      </c>
      <c r="J110">
        <v>7.0000000000000007E-2</v>
      </c>
      <c r="K110" s="11">
        <v>0.03</v>
      </c>
      <c r="L110">
        <v>253982.17499999999</v>
      </c>
      <c r="M110">
        <v>4234</v>
      </c>
      <c r="O110">
        <v>5176</v>
      </c>
      <c r="P110">
        <v>59.985999999999997</v>
      </c>
      <c r="Q110">
        <v>35.026000000000003</v>
      </c>
      <c r="R110">
        <v>0.39029999999999998</v>
      </c>
      <c r="S110">
        <v>0.66</v>
      </c>
      <c r="V110" s="2"/>
      <c r="AG110">
        <v>0.15479999999999999</v>
      </c>
      <c r="AN110" s="3">
        <v>15525</v>
      </c>
      <c r="AO110" s="3">
        <v>4014</v>
      </c>
      <c r="AP110" s="3"/>
      <c r="AQ110" s="3"/>
      <c r="AR110" s="3">
        <v>9207</v>
      </c>
      <c r="AS110" s="3"/>
    </row>
    <row r="111" spans="1:45">
      <c r="A111" s="2" t="s">
        <v>240</v>
      </c>
      <c r="B111" s="2" t="s">
        <v>241</v>
      </c>
      <c r="C111" s="16" t="s">
        <v>64</v>
      </c>
      <c r="D111" s="2" t="s">
        <v>70</v>
      </c>
      <c r="E111" s="2" t="s">
        <v>243</v>
      </c>
      <c r="F111" s="2">
        <v>159</v>
      </c>
      <c r="G111" s="2">
        <v>3389704</v>
      </c>
      <c r="H111" s="2">
        <v>2042780</v>
      </c>
      <c r="I111" s="11">
        <v>2.5000000000000001E-2</v>
      </c>
      <c r="J111" s="2">
        <v>6.9000000000000006E-2</v>
      </c>
      <c r="K111" s="11">
        <v>0.03</v>
      </c>
      <c r="L111" s="2">
        <v>246864.1</v>
      </c>
      <c r="M111" s="2">
        <v>3663</v>
      </c>
      <c r="N111" s="2">
        <v>19</v>
      </c>
      <c r="O111" s="2">
        <v>5218</v>
      </c>
      <c r="P111" s="2">
        <v>67.394000000000005</v>
      </c>
      <c r="Q111" s="2">
        <v>35.712000000000003</v>
      </c>
      <c r="R111" s="2">
        <v>0.45979999999999999</v>
      </c>
      <c r="AG111">
        <v>0.16209999999999999</v>
      </c>
      <c r="AN111" s="3">
        <v>9049</v>
      </c>
      <c r="AO111" s="3">
        <v>2475</v>
      </c>
      <c r="AP111" s="3"/>
      <c r="AQ111" s="3"/>
      <c r="AR111" s="3">
        <v>575</v>
      </c>
      <c r="AS111" s="3"/>
    </row>
    <row r="112" spans="1:45">
      <c r="A112" s="2" t="s">
        <v>240</v>
      </c>
      <c r="B112" s="2" t="s">
        <v>241</v>
      </c>
      <c r="C112" s="15" t="s">
        <v>66</v>
      </c>
      <c r="D112" s="2" t="s">
        <v>70</v>
      </c>
      <c r="E112" s="2" t="s">
        <v>244</v>
      </c>
      <c r="F112" s="2">
        <v>159</v>
      </c>
      <c r="G112" s="2">
        <v>3286313</v>
      </c>
      <c r="H112" s="2">
        <v>2008173</v>
      </c>
      <c r="I112" s="2">
        <v>2.5000000000000001E-2</v>
      </c>
      <c r="J112" s="2">
        <v>6.9000000000000006E-2</v>
      </c>
      <c r="K112" s="11">
        <v>0.03</v>
      </c>
      <c r="L112" s="2">
        <v>249982.9</v>
      </c>
      <c r="M112" s="2">
        <v>3937</v>
      </c>
      <c r="N112" s="3">
        <v>0</v>
      </c>
      <c r="O112" s="2">
        <v>5215</v>
      </c>
      <c r="P112" s="2">
        <v>63.496000000000002</v>
      </c>
      <c r="Q112" s="2">
        <v>36.095999999999997</v>
      </c>
      <c r="R112" s="2">
        <v>0.4279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>
        <v>0.1575</v>
      </c>
      <c r="AH112" s="2"/>
      <c r="AI112" s="2"/>
      <c r="AJ112" s="2"/>
      <c r="AK112" s="2">
        <v>9.1200000000000003E-2</v>
      </c>
      <c r="AL112" s="2">
        <v>9348</v>
      </c>
      <c r="AM112" s="2">
        <v>2</v>
      </c>
      <c r="AN112" s="3">
        <v>7472</v>
      </c>
      <c r="AO112" s="3">
        <v>1971</v>
      </c>
      <c r="AP112" s="3"/>
      <c r="AQ112" s="3"/>
      <c r="AR112" s="3">
        <v>1690</v>
      </c>
      <c r="AS112" s="3"/>
    </row>
    <row r="113" spans="1:45">
      <c r="A113" s="2" t="s">
        <v>240</v>
      </c>
      <c r="B113" s="2" t="s">
        <v>245</v>
      </c>
      <c r="C113" s="15" t="s">
        <v>66</v>
      </c>
      <c r="D113" s="2" t="s">
        <v>62</v>
      </c>
      <c r="E113" s="2" t="s">
        <v>246</v>
      </c>
      <c r="F113" s="2">
        <v>212</v>
      </c>
      <c r="G113" s="2">
        <v>4036925</v>
      </c>
      <c r="H113" s="2">
        <v>1946967</v>
      </c>
      <c r="I113" s="2">
        <v>2.5000000000000001E-2</v>
      </c>
      <c r="J113" s="2">
        <v>7.0000000000000007E-2</v>
      </c>
      <c r="K113" s="11">
        <v>0.03</v>
      </c>
      <c r="L113" s="2">
        <v>174125</v>
      </c>
      <c r="M113" s="2">
        <v>2301</v>
      </c>
      <c r="N113" s="3">
        <v>526</v>
      </c>
      <c r="O113" s="2">
        <v>3045</v>
      </c>
      <c r="P113" s="2">
        <v>75.921000000000006</v>
      </c>
      <c r="Q113" s="2">
        <v>63.365000000000002</v>
      </c>
      <c r="R113" s="2">
        <v>0.8327</v>
      </c>
      <c r="S113" s="2"/>
      <c r="T113" s="2"/>
      <c r="U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>
        <v>0.46300000000000002</v>
      </c>
      <c r="AH113" s="2"/>
      <c r="AI113" s="2"/>
      <c r="AJ113" s="2"/>
      <c r="AK113" s="2">
        <v>0.1</v>
      </c>
      <c r="AL113" s="2">
        <v>5428</v>
      </c>
      <c r="AM113" s="2">
        <v>2</v>
      </c>
      <c r="AN113" s="3">
        <v>988</v>
      </c>
      <c r="AO113" s="3"/>
      <c r="AP113" s="3"/>
      <c r="AQ113" s="3"/>
      <c r="AR113" s="3"/>
      <c r="AS113" s="3"/>
    </row>
    <row r="114" spans="1:45">
      <c r="A114" s="2" t="s">
        <v>240</v>
      </c>
      <c r="B114" t="s">
        <v>245</v>
      </c>
      <c r="C114" s="16" t="s">
        <v>61</v>
      </c>
      <c r="D114" s="2" t="s">
        <v>62</v>
      </c>
      <c r="E114" s="2" t="s">
        <v>247</v>
      </c>
      <c r="F114">
        <v>212</v>
      </c>
      <c r="G114">
        <v>3880073</v>
      </c>
      <c r="H114">
        <v>1865496</v>
      </c>
      <c r="I114">
        <v>2.5000000000000001E-2</v>
      </c>
      <c r="J114">
        <v>7.0000000000000007E-2</v>
      </c>
      <c r="K114" s="11">
        <v>0.03</v>
      </c>
      <c r="L114">
        <v>162004</v>
      </c>
      <c r="M114">
        <v>2384</v>
      </c>
      <c r="N114" s="2">
        <v>82</v>
      </c>
      <c r="O114">
        <v>3010</v>
      </c>
      <c r="P114">
        <v>68.212000000000003</v>
      </c>
      <c r="Q114">
        <v>56.003</v>
      </c>
      <c r="R114">
        <v>0.84570000000000001</v>
      </c>
      <c r="AG114">
        <v>0.4642</v>
      </c>
      <c r="AN114" s="3">
        <v>11034</v>
      </c>
      <c r="AO114" s="3">
        <v>2081</v>
      </c>
      <c r="AP114" s="3"/>
      <c r="AQ114" s="3"/>
      <c r="AR114" s="3">
        <v>3188</v>
      </c>
      <c r="AS114" s="3">
        <v>1796</v>
      </c>
    </row>
    <row r="115" spans="1:45">
      <c r="A115" s="2" t="s">
        <v>240</v>
      </c>
      <c r="B115" s="2" t="s">
        <v>245</v>
      </c>
      <c r="C115" s="16" t="s">
        <v>64</v>
      </c>
      <c r="D115" s="2" t="s">
        <v>62</v>
      </c>
      <c r="E115" s="2" t="s">
        <v>248</v>
      </c>
      <c r="F115" s="2">
        <v>212</v>
      </c>
      <c r="G115" s="2">
        <v>4253525</v>
      </c>
      <c r="H115" s="2">
        <v>2041049</v>
      </c>
      <c r="I115" s="2">
        <v>2.2499999999999999E-2</v>
      </c>
      <c r="J115" s="2">
        <v>6.9000000000000006E-2</v>
      </c>
      <c r="K115" s="11">
        <v>0.03</v>
      </c>
      <c r="L115" s="2">
        <v>174186</v>
      </c>
      <c r="M115" s="2">
        <v>2236</v>
      </c>
      <c r="N115" s="2">
        <v>668</v>
      </c>
      <c r="O115" s="2">
        <v>3067</v>
      </c>
      <c r="P115" s="2">
        <v>78.093000000000004</v>
      </c>
      <c r="Q115" s="2">
        <v>59.256999999999998</v>
      </c>
      <c r="R115" s="2">
        <v>0.88229999999999997</v>
      </c>
      <c r="AG115">
        <v>0.4632</v>
      </c>
      <c r="AN115" s="3"/>
      <c r="AO115" s="3"/>
      <c r="AP115" s="3"/>
      <c r="AQ115" s="3"/>
      <c r="AR115" s="3">
        <v>8663</v>
      </c>
      <c r="AS115" s="3"/>
    </row>
    <row r="116" spans="1:45">
      <c r="A116" s="2" t="s">
        <v>249</v>
      </c>
      <c r="B116" t="s">
        <v>250</v>
      </c>
      <c r="C116" s="16" t="s">
        <v>61</v>
      </c>
      <c r="D116" t="s">
        <v>70</v>
      </c>
      <c r="E116" s="2" t="s">
        <v>251</v>
      </c>
      <c r="F116">
        <v>202</v>
      </c>
      <c r="G116">
        <v>211217.69</v>
      </c>
      <c r="H116">
        <v>118867.74800000001</v>
      </c>
      <c r="I116">
        <v>0.03</v>
      </c>
      <c r="J116">
        <v>8.1000000000000003E-2</v>
      </c>
      <c r="K116" s="11">
        <v>0.03</v>
      </c>
      <c r="L116">
        <v>37488.883000000002</v>
      </c>
      <c r="M116">
        <v>780</v>
      </c>
      <c r="O116">
        <v>362</v>
      </c>
      <c r="P116">
        <v>48.063000000000002</v>
      </c>
      <c r="Q116">
        <v>33.146000000000001</v>
      </c>
      <c r="R116">
        <v>0.24329999999999999</v>
      </c>
      <c r="AG116">
        <v>0.12554000000000001</v>
      </c>
      <c r="AN116" s="3"/>
      <c r="AO116" s="3"/>
      <c r="AP116" s="3"/>
      <c r="AQ116" s="3"/>
      <c r="AR116" s="3">
        <v>3751</v>
      </c>
      <c r="AS116" s="3"/>
    </row>
    <row r="117" spans="1:45">
      <c r="A117" s="2" t="s">
        <v>249</v>
      </c>
      <c r="B117" s="2" t="s">
        <v>250</v>
      </c>
      <c r="C117" s="16" t="s">
        <v>64</v>
      </c>
      <c r="D117" s="2" t="s">
        <v>70</v>
      </c>
      <c r="E117" s="2" t="s">
        <v>252</v>
      </c>
      <c r="F117" s="2">
        <v>202</v>
      </c>
      <c r="G117" s="2">
        <v>253396.8</v>
      </c>
      <c r="H117" s="2">
        <v>129802.4</v>
      </c>
      <c r="I117" s="2">
        <v>0.03</v>
      </c>
      <c r="J117" s="11">
        <v>7.0000000000000007E-2</v>
      </c>
      <c r="K117" s="11">
        <v>0.03</v>
      </c>
      <c r="L117" s="2">
        <v>36917.72</v>
      </c>
      <c r="M117" s="2">
        <v>758</v>
      </c>
      <c r="N117" s="2">
        <v>3111</v>
      </c>
      <c r="O117" s="2">
        <v>416</v>
      </c>
      <c r="P117" s="2">
        <v>48.704000000000001</v>
      </c>
      <c r="Q117" s="2">
        <v>34.886000000000003</v>
      </c>
      <c r="R117" s="2">
        <v>0.32850000000000001</v>
      </c>
      <c r="AN117" s="3"/>
      <c r="AO117" s="3"/>
      <c r="AP117" s="3"/>
      <c r="AQ117" s="3"/>
      <c r="AR117" s="3">
        <v>314</v>
      </c>
      <c r="AS117" s="3"/>
    </row>
    <row r="118" spans="1:45">
      <c r="A118" s="2" t="s">
        <v>249</v>
      </c>
      <c r="B118" s="2" t="s">
        <v>250</v>
      </c>
      <c r="C118" s="15" t="s">
        <v>66</v>
      </c>
      <c r="D118" s="2" t="s">
        <v>70</v>
      </c>
      <c r="E118" s="2" t="s">
        <v>253</v>
      </c>
      <c r="F118" s="2">
        <v>202</v>
      </c>
      <c r="G118" s="2">
        <v>232307.3</v>
      </c>
      <c r="H118" s="2">
        <v>124335.1</v>
      </c>
      <c r="I118" s="11">
        <v>2.5000000000000001E-2</v>
      </c>
      <c r="J118" s="2">
        <v>7.3999999999999996E-2</v>
      </c>
      <c r="K118" s="11">
        <v>0.03</v>
      </c>
      <c r="L118" s="2">
        <v>37203.300000000003</v>
      </c>
      <c r="M118" s="2">
        <v>769</v>
      </c>
      <c r="N118" s="3">
        <v>3160</v>
      </c>
      <c r="O118" s="2"/>
      <c r="P118" s="2">
        <v>48.378999999999998</v>
      </c>
      <c r="Q118" s="2">
        <v>34.076000000000001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H118" s="2"/>
      <c r="AI118" s="2"/>
      <c r="AJ118" s="2"/>
      <c r="AK118" s="2">
        <v>0</v>
      </c>
      <c r="AL118" s="2"/>
      <c r="AM118" s="2">
        <v>2</v>
      </c>
      <c r="AN118" s="3">
        <v>15979</v>
      </c>
      <c r="AO118" s="3">
        <v>768</v>
      </c>
      <c r="AP118" s="3"/>
      <c r="AQ118" s="3"/>
      <c r="AR118" s="3">
        <v>1934</v>
      </c>
      <c r="AS118" s="3">
        <v>10525</v>
      </c>
    </row>
    <row r="119" spans="1:45">
      <c r="A119" t="s">
        <v>254</v>
      </c>
      <c r="B119" s="2" t="s">
        <v>255</v>
      </c>
      <c r="C119" s="16" t="s">
        <v>61</v>
      </c>
      <c r="D119" t="s">
        <v>75</v>
      </c>
      <c r="E119" t="s">
        <v>256</v>
      </c>
      <c r="F119" s="2">
        <v>74</v>
      </c>
      <c r="G119" s="2">
        <v>756950.8</v>
      </c>
      <c r="H119" s="2">
        <v>535935.19999999995</v>
      </c>
      <c r="I119" s="2">
        <v>2.5000000000000001E-2</v>
      </c>
      <c r="K119" s="11">
        <v>0.03</v>
      </c>
      <c r="L119" s="2">
        <v>66264.509999999995</v>
      </c>
      <c r="M119" s="2">
        <v>981</v>
      </c>
      <c r="N119" s="2">
        <v>7</v>
      </c>
      <c r="O119" s="2">
        <v>924</v>
      </c>
      <c r="P119" s="2">
        <v>40.090000000000003</v>
      </c>
      <c r="Q119" s="2"/>
      <c r="R119" s="2">
        <v>0.32540000000000002</v>
      </c>
      <c r="AG119" s="2">
        <v>0.253</v>
      </c>
      <c r="AN119" s="3">
        <v>154116</v>
      </c>
      <c r="AO119" s="3"/>
      <c r="AP119" s="3"/>
      <c r="AQ119" s="3"/>
      <c r="AR119" s="3">
        <v>21389</v>
      </c>
      <c r="AS119" s="3">
        <v>28483</v>
      </c>
    </row>
    <row r="120" spans="1:45">
      <c r="A120" t="s">
        <v>254</v>
      </c>
      <c r="B120" t="s">
        <v>257</v>
      </c>
      <c r="C120" s="16" t="s">
        <v>61</v>
      </c>
      <c r="D120" t="s">
        <v>70</v>
      </c>
      <c r="E120" s="2" t="s">
        <v>258</v>
      </c>
      <c r="F120">
        <v>175</v>
      </c>
      <c r="G120">
        <v>1351562.621</v>
      </c>
      <c r="H120">
        <v>1140815.7709999999</v>
      </c>
      <c r="I120">
        <v>0.03</v>
      </c>
      <c r="J120">
        <v>7.4999999999999997E-2</v>
      </c>
      <c r="K120" s="11">
        <v>0.03</v>
      </c>
      <c r="L120">
        <v>171688.30100000001</v>
      </c>
      <c r="M120">
        <v>3218</v>
      </c>
      <c r="O120">
        <v>2448</v>
      </c>
      <c r="P120">
        <v>53.351999999999997</v>
      </c>
      <c r="Q120">
        <v>26.652000000000001</v>
      </c>
      <c r="R120">
        <v>0.15679999999999999</v>
      </c>
      <c r="S120" s="2">
        <v>0.71138882339070975</v>
      </c>
      <c r="AG120">
        <v>0.13109999999999999</v>
      </c>
      <c r="AN120" s="3">
        <v>4993</v>
      </c>
      <c r="AO120" s="3">
        <v>645</v>
      </c>
      <c r="AP120" s="3"/>
      <c r="AQ120" s="3">
        <v>354</v>
      </c>
      <c r="AR120" s="3">
        <v>68</v>
      </c>
      <c r="AS120" s="3">
        <v>35</v>
      </c>
    </row>
    <row r="121" spans="1:45">
      <c r="A121" s="2" t="s">
        <v>254</v>
      </c>
      <c r="B121" s="2" t="s">
        <v>257</v>
      </c>
      <c r="C121" s="16" t="s">
        <v>64</v>
      </c>
      <c r="D121" s="2" t="s">
        <v>70</v>
      </c>
      <c r="E121" s="2" t="s">
        <v>259</v>
      </c>
      <c r="F121" s="2">
        <v>175</v>
      </c>
      <c r="G121" s="2">
        <v>1420249</v>
      </c>
      <c r="H121" s="2">
        <v>1189659</v>
      </c>
      <c r="I121" s="2">
        <v>0.03</v>
      </c>
      <c r="J121" s="2">
        <v>7.4999999999999997E-2</v>
      </c>
      <c r="K121" s="11">
        <v>0.03</v>
      </c>
      <c r="L121" s="2">
        <v>170834.6</v>
      </c>
      <c r="M121" s="2">
        <v>3146</v>
      </c>
      <c r="N121" s="2">
        <v>0</v>
      </c>
      <c r="O121" s="2">
        <v>2591</v>
      </c>
      <c r="P121" s="2">
        <v>54.302</v>
      </c>
      <c r="Q121" s="2">
        <v>28.047000000000001</v>
      </c>
      <c r="R121" s="2">
        <v>0.17949999999999999</v>
      </c>
      <c r="S121" s="2">
        <v>0.71138882339070975</v>
      </c>
      <c r="AG121">
        <v>0.12790000000000001</v>
      </c>
      <c r="AN121" s="3">
        <v>33416</v>
      </c>
      <c r="AO121" s="3">
        <v>451</v>
      </c>
      <c r="AP121" s="3"/>
      <c r="AQ121" s="3">
        <v>840</v>
      </c>
      <c r="AR121" s="3">
        <v>491</v>
      </c>
      <c r="AS121" s="3">
        <v>1940</v>
      </c>
    </row>
    <row r="122" spans="1:45">
      <c r="A122" s="2" t="s">
        <v>254</v>
      </c>
      <c r="B122" s="2" t="s">
        <v>257</v>
      </c>
      <c r="C122" s="15" t="s">
        <v>66</v>
      </c>
      <c r="D122" s="2" t="s">
        <v>70</v>
      </c>
      <c r="E122" s="2" t="s">
        <v>260</v>
      </c>
      <c r="F122" s="2">
        <v>175</v>
      </c>
      <c r="G122" s="2">
        <v>1380803</v>
      </c>
      <c r="H122" s="2">
        <v>1179563</v>
      </c>
      <c r="I122" s="2">
        <v>0.03</v>
      </c>
      <c r="J122" s="2">
        <v>7.4999999999999997E-2</v>
      </c>
      <c r="K122" s="11">
        <v>0.03</v>
      </c>
      <c r="L122" s="2">
        <v>171476.1</v>
      </c>
      <c r="M122" s="2">
        <v>3163</v>
      </c>
      <c r="N122" s="3">
        <v>0</v>
      </c>
      <c r="O122" s="2">
        <v>2526</v>
      </c>
      <c r="P122" s="2">
        <v>54.213000000000001</v>
      </c>
      <c r="Q122" s="2">
        <v>27.169</v>
      </c>
      <c r="R122" s="2">
        <v>0.15939999999999999</v>
      </c>
      <c r="S122" s="2">
        <v>0.71138882339070975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>
        <v>0.129</v>
      </c>
      <c r="AH122" s="2"/>
      <c r="AI122" s="2"/>
      <c r="AJ122" s="2"/>
      <c r="AK122" s="2">
        <v>5.0099999999999999E-2</v>
      </c>
      <c r="AL122" s="2">
        <v>5881</v>
      </c>
      <c r="AM122" s="2">
        <v>2</v>
      </c>
      <c r="AN122" s="3"/>
      <c r="AO122" s="3"/>
      <c r="AP122" s="3"/>
      <c r="AQ122" s="3"/>
      <c r="AR122" s="3">
        <v>13410</v>
      </c>
      <c r="AS122" s="3">
        <v>8174</v>
      </c>
    </row>
    <row r="123" spans="1:45">
      <c r="A123" s="2" t="s">
        <v>254</v>
      </c>
      <c r="B123" s="2" t="s">
        <v>261</v>
      </c>
      <c r="C123" s="15" t="s">
        <v>66</v>
      </c>
      <c r="D123" s="2" t="s">
        <v>154</v>
      </c>
      <c r="E123" s="2" t="s">
        <v>262</v>
      </c>
      <c r="F123" s="2">
        <v>207</v>
      </c>
      <c r="G123" s="2">
        <v>1020122</v>
      </c>
      <c r="H123" s="2">
        <v>645373.19999999995</v>
      </c>
      <c r="I123" s="2">
        <v>2.75E-2</v>
      </c>
      <c r="J123" s="2">
        <v>7.7499999999999999E-2</v>
      </c>
      <c r="K123" s="11">
        <v>0.03</v>
      </c>
      <c r="L123" s="2">
        <v>217255.3</v>
      </c>
      <c r="M123" s="2">
        <v>4074</v>
      </c>
      <c r="N123" s="3">
        <v>0</v>
      </c>
      <c r="O123" s="2">
        <v>4145</v>
      </c>
      <c r="P123" s="2">
        <v>53.326999999999998</v>
      </c>
      <c r="Q123" s="2">
        <v>19.565000000000001</v>
      </c>
      <c r="R123" s="2">
        <v>0.12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>
        <v>9.4600000000000004E-2</v>
      </c>
      <c r="AH123" s="2"/>
      <c r="AI123" s="2"/>
      <c r="AJ123" s="2"/>
      <c r="AK123" s="2">
        <v>8.7999999999999995E-2</v>
      </c>
      <c r="AL123" s="2">
        <v>8748</v>
      </c>
      <c r="AM123" s="2">
        <v>5</v>
      </c>
      <c r="AN123" s="3">
        <v>1358</v>
      </c>
      <c r="AO123" s="3">
        <v>244</v>
      </c>
      <c r="AP123" s="3">
        <v>3624</v>
      </c>
      <c r="AQ123" s="3"/>
      <c r="AR123" s="3">
        <v>151</v>
      </c>
      <c r="AS123" s="3"/>
    </row>
    <row r="124" spans="1:45">
      <c r="A124" s="2" t="s">
        <v>254</v>
      </c>
      <c r="B124" s="2" t="s">
        <v>261</v>
      </c>
      <c r="C124" s="16" t="s">
        <v>64</v>
      </c>
      <c r="D124" s="2" t="s">
        <v>154</v>
      </c>
      <c r="E124" s="2" t="s">
        <v>263</v>
      </c>
      <c r="F124" s="2">
        <v>207</v>
      </c>
      <c r="G124" s="2">
        <v>997587.4</v>
      </c>
      <c r="H124" s="2">
        <v>663210.6</v>
      </c>
      <c r="I124" s="2">
        <v>2.2499999999999999E-2</v>
      </c>
      <c r="J124" s="2">
        <v>7.2499999999999995E-2</v>
      </c>
      <c r="K124" s="11">
        <v>0.03</v>
      </c>
      <c r="L124" s="2">
        <v>228084.6</v>
      </c>
      <c r="M124" s="2">
        <v>4108</v>
      </c>
      <c r="N124" s="2">
        <v>0</v>
      </c>
      <c r="O124" s="2">
        <v>4099</v>
      </c>
      <c r="P124" s="2">
        <v>55.521999999999998</v>
      </c>
      <c r="Q124" s="2">
        <v>19.574999999999999</v>
      </c>
      <c r="R124" s="2">
        <v>0.12</v>
      </c>
      <c r="AG124">
        <v>9.6299999999999997E-2</v>
      </c>
      <c r="AN124" s="3">
        <v>1389</v>
      </c>
      <c r="AO124" s="3"/>
      <c r="AP124" s="3"/>
      <c r="AQ124" s="3"/>
      <c r="AR124" s="3">
        <v>100</v>
      </c>
      <c r="AS124" s="3">
        <v>49</v>
      </c>
    </row>
    <row r="125" spans="1:45">
      <c r="A125" t="s">
        <v>254</v>
      </c>
      <c r="B125" s="2" t="s">
        <v>264</v>
      </c>
      <c r="C125" s="16" t="s">
        <v>61</v>
      </c>
      <c r="D125" t="s">
        <v>80</v>
      </c>
      <c r="E125" t="s">
        <v>265</v>
      </c>
      <c r="F125" s="2" t="s">
        <v>266</v>
      </c>
      <c r="G125" s="2">
        <v>1161789</v>
      </c>
      <c r="H125" s="2">
        <v>886676.4</v>
      </c>
      <c r="I125" s="2">
        <v>0.03</v>
      </c>
      <c r="J125" s="4"/>
      <c r="K125" s="11">
        <v>0.03</v>
      </c>
      <c r="L125" s="2">
        <v>91598</v>
      </c>
      <c r="M125" s="2">
        <v>1284</v>
      </c>
      <c r="N125" s="2">
        <v>33</v>
      </c>
      <c r="O125" s="2">
        <v>1332</v>
      </c>
      <c r="P125" s="2">
        <v>41.6</v>
      </c>
      <c r="Q125" s="2"/>
      <c r="R125" s="2">
        <v>0.30359999999999998</v>
      </c>
      <c r="AG125" s="2">
        <v>0.25979999999999998</v>
      </c>
      <c r="AN125" s="3">
        <v>1312</v>
      </c>
      <c r="AO125" s="3"/>
      <c r="AP125" s="3"/>
      <c r="AQ125" s="3">
        <v>70</v>
      </c>
      <c r="AR125" s="3">
        <v>8</v>
      </c>
      <c r="AS125" s="3">
        <v>6</v>
      </c>
    </row>
    <row r="126" spans="1:45">
      <c r="A126" t="s">
        <v>267</v>
      </c>
      <c r="B126" t="s">
        <v>261</v>
      </c>
      <c r="C126" s="16" t="s">
        <v>61</v>
      </c>
      <c r="D126" t="s">
        <v>154</v>
      </c>
      <c r="E126" s="2" t="s">
        <v>268</v>
      </c>
      <c r="F126">
        <v>207</v>
      </c>
      <c r="G126">
        <v>988234.76300000004</v>
      </c>
      <c r="H126">
        <v>654259.32400000002</v>
      </c>
      <c r="I126">
        <v>2.75E-2</v>
      </c>
      <c r="J126">
        <v>7.5700000000000003E-2</v>
      </c>
      <c r="K126" s="11">
        <v>0.03</v>
      </c>
      <c r="L126">
        <v>196277.97099999999</v>
      </c>
      <c r="M126">
        <v>3898</v>
      </c>
      <c r="O126">
        <v>4113</v>
      </c>
      <c r="P126">
        <v>52.158000000000001</v>
      </c>
      <c r="Q126">
        <v>19.481999999999999</v>
      </c>
      <c r="R126">
        <v>0.105</v>
      </c>
      <c r="AG126">
        <v>9.1499999999999998E-2</v>
      </c>
      <c r="AN126" s="3"/>
      <c r="AO126" s="3"/>
      <c r="AP126" s="3"/>
      <c r="AQ126" s="3"/>
      <c r="AR126" s="3">
        <v>1163</v>
      </c>
      <c r="AS126" s="3">
        <v>709</v>
      </c>
    </row>
    <row r="127" spans="1:45">
      <c r="A127" s="2" t="s">
        <v>269</v>
      </c>
      <c r="B127" t="s">
        <v>270</v>
      </c>
      <c r="C127" s="16" t="s">
        <v>61</v>
      </c>
      <c r="D127" s="2" t="s">
        <v>75</v>
      </c>
      <c r="E127" s="2" t="s">
        <v>271</v>
      </c>
      <c r="F127">
        <v>188</v>
      </c>
      <c r="G127">
        <v>97033.040999999997</v>
      </c>
      <c r="H127">
        <v>47611.589</v>
      </c>
      <c r="I127">
        <v>2.75E-2</v>
      </c>
      <c r="J127">
        <v>7.0000000000000007E-2</v>
      </c>
      <c r="K127" s="11">
        <v>0.03</v>
      </c>
      <c r="L127">
        <v>0</v>
      </c>
      <c r="M127">
        <v>0</v>
      </c>
      <c r="O127">
        <v>287</v>
      </c>
      <c r="Q127">
        <v>46.567999999999998</v>
      </c>
      <c r="AN127" s="3">
        <v>22249</v>
      </c>
      <c r="AO127" s="3">
        <v>8471</v>
      </c>
      <c r="AP127" s="3"/>
      <c r="AQ127" s="3">
        <v>1642</v>
      </c>
      <c r="AR127" s="3">
        <v>929</v>
      </c>
      <c r="AS127" s="3"/>
    </row>
    <row r="128" spans="1:45">
      <c r="A128" s="2" t="s">
        <v>269</v>
      </c>
      <c r="B128" s="2" t="s">
        <v>270</v>
      </c>
      <c r="C128" s="16" t="s">
        <v>64</v>
      </c>
      <c r="D128" s="2" t="s">
        <v>75</v>
      </c>
      <c r="E128" s="2" t="s">
        <v>272</v>
      </c>
      <c r="F128" s="2">
        <v>188</v>
      </c>
      <c r="G128" s="11"/>
      <c r="H128" s="11"/>
      <c r="I128" s="11">
        <v>2.5000000000000001E-2</v>
      </c>
      <c r="J128" s="11">
        <v>7.0000000000000007E-2</v>
      </c>
      <c r="K128" s="11">
        <v>0.03</v>
      </c>
      <c r="L128" s="2"/>
      <c r="M128" s="2"/>
      <c r="N128" s="2">
        <v>9207</v>
      </c>
      <c r="O128" s="2"/>
      <c r="P128" s="2"/>
      <c r="Q128" s="2"/>
      <c r="R128" s="2"/>
      <c r="AN128" s="3">
        <v>6109</v>
      </c>
      <c r="AO128" s="3">
        <v>1160</v>
      </c>
      <c r="AP128" s="3"/>
      <c r="AQ128" s="3"/>
      <c r="AR128" s="3">
        <v>1033</v>
      </c>
      <c r="AS128" s="3"/>
    </row>
    <row r="129" spans="1:45">
      <c r="A129" s="2" t="s">
        <v>269</v>
      </c>
      <c r="B129" s="2" t="s">
        <v>270</v>
      </c>
      <c r="C129" s="15" t="s">
        <v>66</v>
      </c>
      <c r="D129" s="2" t="s">
        <v>75</v>
      </c>
      <c r="E129" s="2" t="s">
        <v>273</v>
      </c>
      <c r="F129" s="2">
        <v>188</v>
      </c>
      <c r="G129" s="2">
        <v>92710.23</v>
      </c>
      <c r="H129" s="2">
        <v>44878.28</v>
      </c>
      <c r="I129" s="2">
        <v>2.75E-2</v>
      </c>
      <c r="J129" s="2">
        <v>7.0000000000000007E-2</v>
      </c>
      <c r="K129" s="11">
        <v>0.03</v>
      </c>
      <c r="L129" s="2">
        <v>0</v>
      </c>
      <c r="M129" s="2">
        <v>0</v>
      </c>
      <c r="N129" s="3">
        <v>8588</v>
      </c>
      <c r="O129" s="2">
        <v>276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H129" s="2"/>
      <c r="AI129" s="2"/>
      <c r="AJ129" s="2"/>
      <c r="AK129" s="2">
        <v>0</v>
      </c>
      <c r="AL129" s="2">
        <v>276</v>
      </c>
      <c r="AM129" s="2">
        <v>2</v>
      </c>
      <c r="AN129" s="3"/>
      <c r="AO129" s="3"/>
      <c r="AP129" s="3"/>
      <c r="AQ129" s="3"/>
      <c r="AR129" s="3"/>
      <c r="AS129" s="3"/>
    </row>
    <row r="130" spans="1:45">
      <c r="A130" s="2" t="s">
        <v>274</v>
      </c>
      <c r="B130" s="2" t="s">
        <v>275</v>
      </c>
      <c r="C130" s="15" t="s">
        <v>66</v>
      </c>
      <c r="D130" s="2" t="s">
        <v>70</v>
      </c>
      <c r="E130" s="2" t="s">
        <v>276</v>
      </c>
      <c r="F130" s="2">
        <v>139</v>
      </c>
      <c r="G130" s="2">
        <v>20793421</v>
      </c>
      <c r="H130" s="2">
        <v>14818564</v>
      </c>
      <c r="I130" s="2">
        <v>0.03</v>
      </c>
      <c r="J130" s="2">
        <v>7.2499999999999995E-2</v>
      </c>
      <c r="K130" s="11">
        <v>0.03</v>
      </c>
      <c r="L130" s="2">
        <v>2225413</v>
      </c>
      <c r="M130" s="2">
        <v>26632</v>
      </c>
      <c r="N130" s="3">
        <v>523</v>
      </c>
      <c r="O130" s="2">
        <v>20034</v>
      </c>
      <c r="P130" s="2">
        <v>83.561999999999998</v>
      </c>
      <c r="Q130" s="2">
        <v>47.298999999999999</v>
      </c>
      <c r="R130" s="2">
        <v>0.15090000000000001</v>
      </c>
      <c r="S130" s="2">
        <v>0.72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>
        <v>0.17230000000000001</v>
      </c>
      <c r="AH130" s="2"/>
      <c r="AI130" s="2"/>
      <c r="AJ130" s="2"/>
      <c r="AK130" s="2">
        <v>0.10630000000000001</v>
      </c>
      <c r="AL130" s="2">
        <v>55254</v>
      </c>
      <c r="AM130" s="2">
        <v>2</v>
      </c>
      <c r="AN130" s="3"/>
      <c r="AO130" s="3"/>
      <c r="AP130" s="3"/>
      <c r="AQ130" s="3"/>
      <c r="AR130" s="3"/>
      <c r="AS130" s="3"/>
    </row>
    <row r="131" spans="1:45">
      <c r="A131" s="2" t="s">
        <v>274</v>
      </c>
      <c r="B131" t="s">
        <v>275</v>
      </c>
      <c r="C131" s="16" t="s">
        <v>61</v>
      </c>
      <c r="D131" t="s">
        <v>70</v>
      </c>
      <c r="E131" s="2" t="s">
        <v>277</v>
      </c>
      <c r="F131">
        <v>139</v>
      </c>
      <c r="G131">
        <v>19944579.057999998</v>
      </c>
      <c r="H131">
        <v>13982435.465</v>
      </c>
      <c r="I131">
        <v>0.03</v>
      </c>
      <c r="J131">
        <v>7.2499999999999995E-2</v>
      </c>
      <c r="K131" s="11">
        <v>0.03</v>
      </c>
      <c r="L131">
        <v>2171687.102</v>
      </c>
      <c r="M131">
        <v>26042</v>
      </c>
      <c r="O131">
        <v>19379</v>
      </c>
      <c r="P131">
        <v>83.622</v>
      </c>
      <c r="Q131">
        <v>45.414000000000001</v>
      </c>
      <c r="R131">
        <v>0.15079999999999999</v>
      </c>
      <c r="S131" s="2">
        <v>0.72</v>
      </c>
      <c r="AG131">
        <v>0.1726</v>
      </c>
      <c r="AN131" s="3">
        <v>3255</v>
      </c>
      <c r="AO131" s="3"/>
      <c r="AP131" s="3"/>
      <c r="AQ131" s="3"/>
      <c r="AR131" s="3">
        <v>500</v>
      </c>
      <c r="AS131" s="3"/>
    </row>
    <row r="132" spans="1:45">
      <c r="A132" s="2" t="s">
        <v>274</v>
      </c>
      <c r="B132" s="2" t="s">
        <v>275</v>
      </c>
      <c r="C132" s="16" t="s">
        <v>64</v>
      </c>
      <c r="D132" s="2" t="s">
        <v>70</v>
      </c>
      <c r="E132" s="2" t="s">
        <v>278</v>
      </c>
      <c r="F132" s="2">
        <v>139</v>
      </c>
      <c r="G132" s="2">
        <v>22527195</v>
      </c>
      <c r="H132" s="2">
        <v>15630103</v>
      </c>
      <c r="I132" s="2">
        <v>2.75E-2</v>
      </c>
      <c r="J132" s="2">
        <v>7.0000000000000007E-2</v>
      </c>
      <c r="K132" s="11">
        <v>0.03</v>
      </c>
      <c r="L132" s="2">
        <v>2445017</v>
      </c>
      <c r="M132" s="2">
        <v>27490</v>
      </c>
      <c r="N132" s="2">
        <v>575</v>
      </c>
      <c r="O132" s="2">
        <v>20423</v>
      </c>
      <c r="P132" s="2">
        <v>88.941999999999993</v>
      </c>
      <c r="Q132" s="2">
        <v>49.195999999999998</v>
      </c>
      <c r="R132" s="2">
        <v>0.18740000000000001</v>
      </c>
      <c r="S132" s="2">
        <v>0.72</v>
      </c>
      <c r="AG132">
        <v>0.1908</v>
      </c>
      <c r="AN132" s="3">
        <v>6947</v>
      </c>
      <c r="AO132" s="3">
        <v>1471</v>
      </c>
      <c r="AP132" s="3"/>
      <c r="AQ132" s="3">
        <v>891</v>
      </c>
      <c r="AR132" s="3">
        <v>763</v>
      </c>
      <c r="AS132" s="3">
        <v>2135</v>
      </c>
    </row>
    <row r="133" spans="1:45">
      <c r="A133" s="2" t="s">
        <v>274</v>
      </c>
      <c r="B133" s="2" t="s">
        <v>279</v>
      </c>
      <c r="C133" s="15" t="s">
        <v>66</v>
      </c>
      <c r="D133" s="2" t="s">
        <v>62</v>
      </c>
      <c r="E133" s="2" t="s">
        <v>280</v>
      </c>
      <c r="F133" s="2">
        <v>140</v>
      </c>
      <c r="G133" s="2">
        <v>22474125</v>
      </c>
      <c r="H133" s="2">
        <v>21037711</v>
      </c>
      <c r="I133" s="2">
        <v>0.03</v>
      </c>
      <c r="J133" s="2">
        <v>7.2499999999999995E-2</v>
      </c>
      <c r="K133" s="11">
        <v>0.03</v>
      </c>
      <c r="L133" s="2">
        <v>1583808</v>
      </c>
      <c r="M133" s="2">
        <v>13535</v>
      </c>
      <c r="N133" s="3">
        <v>1663</v>
      </c>
      <c r="O133" s="2">
        <v>13097</v>
      </c>
      <c r="P133" s="2">
        <v>117.01600000000001</v>
      </c>
      <c r="Q133" s="2">
        <v>73.62</v>
      </c>
      <c r="R133" s="2">
        <v>0.25459999999999999</v>
      </c>
      <c r="S133" s="2">
        <v>0.72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>
        <v>0.29049999999999998</v>
      </c>
      <c r="AH133" s="2"/>
      <c r="AI133" s="2"/>
      <c r="AJ133" s="2"/>
      <c r="AK133" s="2">
        <v>9.74E-2</v>
      </c>
      <c r="AL133" s="2">
        <v>27155</v>
      </c>
      <c r="AM133" s="2">
        <v>2</v>
      </c>
      <c r="AN133" s="3">
        <v>23519</v>
      </c>
      <c r="AO133" s="3">
        <v>4086</v>
      </c>
      <c r="AP133" s="3"/>
      <c r="AQ133" s="3"/>
      <c r="AR133" s="3">
        <v>10549</v>
      </c>
      <c r="AS133" s="3"/>
    </row>
    <row r="134" spans="1:45">
      <c r="A134" s="2" t="s">
        <v>274</v>
      </c>
      <c r="B134" t="s">
        <v>279</v>
      </c>
      <c r="C134" s="16" t="s">
        <v>61</v>
      </c>
      <c r="D134" s="2" t="s">
        <v>62</v>
      </c>
      <c r="E134" s="2" t="s">
        <v>281</v>
      </c>
      <c r="F134">
        <v>140</v>
      </c>
      <c r="G134">
        <v>21364804</v>
      </c>
      <c r="H134">
        <v>19840070</v>
      </c>
      <c r="I134">
        <v>3.2500000000000001E-2</v>
      </c>
      <c r="J134">
        <v>7.4999999999999997E-2</v>
      </c>
      <c r="K134" s="11">
        <v>0.03</v>
      </c>
      <c r="L134">
        <v>1546043</v>
      </c>
      <c r="M134">
        <v>13442</v>
      </c>
      <c r="O134">
        <v>12890</v>
      </c>
      <c r="P134">
        <v>115.01600000000001</v>
      </c>
      <c r="Q134">
        <v>71.099999999999994</v>
      </c>
      <c r="R134">
        <v>0.25719999999999998</v>
      </c>
      <c r="S134" s="2">
        <v>0.72</v>
      </c>
      <c r="AG134">
        <v>0.28560000000000002</v>
      </c>
      <c r="AN134" s="3">
        <v>7123</v>
      </c>
      <c r="AO134" s="3"/>
      <c r="AP134" s="3"/>
      <c r="AQ134" s="3"/>
      <c r="AR134" s="3">
        <v>3009</v>
      </c>
      <c r="AS134" s="3"/>
    </row>
    <row r="135" spans="1:45">
      <c r="A135" s="2" t="s">
        <v>274</v>
      </c>
      <c r="B135" s="2" t="s">
        <v>279</v>
      </c>
      <c r="C135" s="16" t="s">
        <v>64</v>
      </c>
      <c r="D135" s="2" t="s">
        <v>62</v>
      </c>
      <c r="E135" s="2" t="s">
        <v>282</v>
      </c>
      <c r="F135" s="2">
        <v>140</v>
      </c>
      <c r="G135" s="2">
        <v>23727315</v>
      </c>
      <c r="H135" s="2">
        <v>22106722</v>
      </c>
      <c r="I135" s="2">
        <v>2.75E-2</v>
      </c>
      <c r="J135" s="2">
        <v>7.0000000000000007E-2</v>
      </c>
      <c r="K135" s="11">
        <v>0.03</v>
      </c>
      <c r="L135" s="2">
        <v>1670245</v>
      </c>
      <c r="M135" s="2">
        <v>13486</v>
      </c>
      <c r="N135" s="2">
        <v>1690</v>
      </c>
      <c r="O135" s="2">
        <v>13291</v>
      </c>
      <c r="P135" s="2">
        <v>123.85</v>
      </c>
      <c r="Q135" s="2">
        <v>76.632000000000005</v>
      </c>
      <c r="R135" s="2">
        <v>0.24959999999999999</v>
      </c>
      <c r="S135" s="2">
        <v>0.72</v>
      </c>
      <c r="AG135">
        <v>0.2989</v>
      </c>
      <c r="AN135" s="3"/>
      <c r="AO135" s="3"/>
      <c r="AP135" s="3"/>
      <c r="AQ135" s="3"/>
      <c r="AR135" s="3">
        <v>85</v>
      </c>
      <c r="AS135" s="3"/>
    </row>
    <row r="136" spans="1:45">
      <c r="A136" s="2" t="s">
        <v>274</v>
      </c>
      <c r="B136" s="2" t="s">
        <v>283</v>
      </c>
      <c r="C136" s="15" t="s">
        <v>66</v>
      </c>
      <c r="D136" s="2" t="s">
        <v>284</v>
      </c>
      <c r="E136" s="2" t="s">
        <v>285</v>
      </c>
      <c r="F136" s="2">
        <v>141</v>
      </c>
      <c r="G136" s="2">
        <v>13811956</v>
      </c>
      <c r="H136" s="2">
        <v>12739145</v>
      </c>
      <c r="I136" s="2">
        <v>2.75E-2</v>
      </c>
      <c r="J136" s="2">
        <v>7.0000000000000007E-2</v>
      </c>
      <c r="K136" s="11">
        <v>0.03</v>
      </c>
      <c r="L136" s="2">
        <v>1141876</v>
      </c>
      <c r="M136" s="2">
        <v>10362</v>
      </c>
      <c r="N136" s="3">
        <v>0</v>
      </c>
      <c r="O136" s="2">
        <v>9315</v>
      </c>
      <c r="P136" s="2">
        <v>110.19799999999999</v>
      </c>
      <c r="Q136" s="2">
        <v>63.496000000000002</v>
      </c>
      <c r="R136" s="2">
        <v>0.37969999999999998</v>
      </c>
      <c r="S136" s="2">
        <v>0.72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>
        <v>0.23069999999999999</v>
      </c>
      <c r="AH136" s="2"/>
      <c r="AI136" s="2"/>
      <c r="AJ136" s="2"/>
      <c r="AK136" s="2">
        <v>7.1800000000000003E-2</v>
      </c>
      <c r="AL136" s="2">
        <v>21340</v>
      </c>
      <c r="AM136" s="2">
        <v>2</v>
      </c>
      <c r="AN136" s="3">
        <v>4380</v>
      </c>
      <c r="AO136" s="3">
        <v>510</v>
      </c>
      <c r="AP136" s="3"/>
      <c r="AQ136" s="3"/>
      <c r="AR136" s="3">
        <v>2561</v>
      </c>
      <c r="AS136" s="3"/>
    </row>
    <row r="137" spans="1:45">
      <c r="A137" t="s">
        <v>274</v>
      </c>
      <c r="B137" t="s">
        <v>283</v>
      </c>
      <c r="C137" s="16" t="s">
        <v>61</v>
      </c>
      <c r="D137" t="s">
        <v>284</v>
      </c>
      <c r="E137" s="2" t="s">
        <v>286</v>
      </c>
      <c r="F137">
        <v>141</v>
      </c>
      <c r="G137">
        <v>13187542.73</v>
      </c>
      <c r="H137">
        <v>12009999.029999999</v>
      </c>
      <c r="I137">
        <v>0.03</v>
      </c>
      <c r="J137">
        <v>7.2499999999999995E-2</v>
      </c>
      <c r="K137" s="11">
        <v>0.03</v>
      </c>
      <c r="L137">
        <v>1073554.6070000001</v>
      </c>
      <c r="M137">
        <v>10114</v>
      </c>
      <c r="O137">
        <v>9165</v>
      </c>
      <c r="P137">
        <v>106.145</v>
      </c>
      <c r="Q137">
        <v>60.981999999999999</v>
      </c>
      <c r="R137">
        <v>0.40150000000000002</v>
      </c>
      <c r="S137" s="2">
        <v>0.72</v>
      </c>
      <c r="AG137">
        <v>0.2266</v>
      </c>
      <c r="AN137" s="3">
        <v>3893</v>
      </c>
      <c r="AO137" s="3">
        <v>268</v>
      </c>
      <c r="AP137" s="3"/>
      <c r="AQ137" s="3"/>
      <c r="AR137" s="3">
        <v>703</v>
      </c>
      <c r="AS137" s="3">
        <v>2857</v>
      </c>
    </row>
    <row r="138" spans="1:45">
      <c r="A138" s="2" t="s">
        <v>274</v>
      </c>
      <c r="B138" s="2" t="s">
        <v>283</v>
      </c>
      <c r="C138" s="16" t="s">
        <v>64</v>
      </c>
      <c r="D138" s="2" t="s">
        <v>284</v>
      </c>
      <c r="E138" s="2" t="s">
        <v>287</v>
      </c>
      <c r="F138" s="2">
        <v>141</v>
      </c>
      <c r="G138" s="2">
        <v>14465350</v>
      </c>
      <c r="H138" s="2">
        <v>13586121</v>
      </c>
      <c r="I138" s="2">
        <v>2.75E-2</v>
      </c>
      <c r="J138" s="2">
        <v>7.0000000000000007E-2</v>
      </c>
      <c r="K138" s="11">
        <v>0.03</v>
      </c>
      <c r="L138" s="2">
        <v>1211798</v>
      </c>
      <c r="M138" s="2">
        <v>10778</v>
      </c>
      <c r="N138" s="2">
        <v>0</v>
      </c>
      <c r="O138" s="2">
        <v>9443</v>
      </c>
      <c r="P138" s="2">
        <v>112.43300000000001</v>
      </c>
      <c r="Q138" s="2">
        <v>66.594999999999999</v>
      </c>
      <c r="R138" s="2">
        <v>0.33550000000000002</v>
      </c>
      <c r="S138" s="2">
        <v>0.72</v>
      </c>
      <c r="AG138">
        <v>0.22720000000000001</v>
      </c>
      <c r="AN138" s="3">
        <v>3721</v>
      </c>
      <c r="AO138" s="3">
        <v>360</v>
      </c>
      <c r="AP138" s="3"/>
      <c r="AQ138" s="3">
        <v>92</v>
      </c>
      <c r="AR138" s="3">
        <v>2491</v>
      </c>
      <c r="AS138" s="3">
        <v>2834</v>
      </c>
    </row>
    <row r="139" spans="1:45">
      <c r="A139" s="2" t="s">
        <v>288</v>
      </c>
      <c r="B139" t="s">
        <v>289</v>
      </c>
      <c r="C139" s="16" t="s">
        <v>61</v>
      </c>
      <c r="D139" t="s">
        <v>70</v>
      </c>
      <c r="E139" s="2" t="s">
        <v>290</v>
      </c>
      <c r="F139">
        <v>190</v>
      </c>
      <c r="G139">
        <v>355948.21600000001</v>
      </c>
      <c r="H139">
        <v>220842.31299999999</v>
      </c>
      <c r="I139">
        <v>2.5000000000000001E-2</v>
      </c>
      <c r="J139">
        <v>7.0000000000000007E-2</v>
      </c>
      <c r="K139" s="11">
        <v>0.03</v>
      </c>
      <c r="L139">
        <v>51787</v>
      </c>
      <c r="M139">
        <v>1142</v>
      </c>
      <c r="O139">
        <v>914</v>
      </c>
      <c r="P139">
        <v>45.347999999999999</v>
      </c>
      <c r="Q139">
        <v>20.199000000000002</v>
      </c>
      <c r="R139">
        <v>0.27129999999999999</v>
      </c>
      <c r="AG139">
        <v>0.12920000000000001</v>
      </c>
      <c r="AN139" s="3">
        <v>2570</v>
      </c>
      <c r="AO139" s="3">
        <v>369</v>
      </c>
      <c r="AP139" s="3"/>
      <c r="AQ139" s="3">
        <v>64</v>
      </c>
      <c r="AR139" s="3">
        <v>324</v>
      </c>
      <c r="AS139" s="3">
        <v>192</v>
      </c>
    </row>
    <row r="140" spans="1:45">
      <c r="A140" s="2" t="s">
        <v>288</v>
      </c>
      <c r="B140" s="2" t="s">
        <v>289</v>
      </c>
      <c r="C140" s="16" t="s">
        <v>64</v>
      </c>
      <c r="D140" s="2" t="s">
        <v>70</v>
      </c>
      <c r="E140" s="2" t="s">
        <v>291</v>
      </c>
      <c r="F140" s="2">
        <v>190</v>
      </c>
      <c r="G140">
        <v>413910.761</v>
      </c>
      <c r="H140">
        <v>245208.01300000001</v>
      </c>
      <c r="I140">
        <v>0.02</v>
      </c>
      <c r="J140">
        <v>7.4999999999999997E-2</v>
      </c>
      <c r="K140" s="11">
        <v>0.03</v>
      </c>
      <c r="L140">
        <v>54254.463000000003</v>
      </c>
      <c r="M140">
        <v>1088</v>
      </c>
      <c r="O140">
        <v>988</v>
      </c>
      <c r="P140">
        <v>49.866</v>
      </c>
      <c r="Q140">
        <v>21.195</v>
      </c>
      <c r="R140">
        <v>0.32700000000000001</v>
      </c>
      <c r="AG140">
        <v>0.13539999999999999</v>
      </c>
      <c r="AN140" s="3"/>
      <c r="AO140" s="3"/>
      <c r="AP140" s="3"/>
      <c r="AQ140" s="3"/>
      <c r="AR140" s="3">
        <v>180</v>
      </c>
      <c r="AS140" s="3">
        <v>2372</v>
      </c>
    </row>
    <row r="141" spans="1:45">
      <c r="A141" s="2" t="s">
        <v>288</v>
      </c>
      <c r="B141" s="2" t="s">
        <v>289</v>
      </c>
      <c r="C141" s="16" t="s">
        <v>66</v>
      </c>
      <c r="D141" s="2" t="s">
        <v>70</v>
      </c>
      <c r="E141" s="2" t="s">
        <v>292</v>
      </c>
      <c r="F141" s="2">
        <v>190</v>
      </c>
      <c r="G141">
        <v>370984.435</v>
      </c>
      <c r="H141">
        <v>229353.61</v>
      </c>
      <c r="I141">
        <v>2.2499999999999999E-2</v>
      </c>
      <c r="J141">
        <v>6.7500000000000004E-2</v>
      </c>
      <c r="K141" s="11">
        <v>0.03</v>
      </c>
      <c r="L141">
        <v>52895.991999999998</v>
      </c>
      <c r="M141">
        <v>1119</v>
      </c>
      <c r="O141">
        <v>955</v>
      </c>
      <c r="P141">
        <v>47.271000000000001</v>
      </c>
      <c r="Q141">
        <v>20.844000000000001</v>
      </c>
      <c r="R141">
        <v>0.28210000000000002</v>
      </c>
      <c r="AG141">
        <v>0.1295</v>
      </c>
    </row>
    <row r="142" spans="1:45">
      <c r="A142" s="2" t="s">
        <v>293</v>
      </c>
      <c r="B142" s="2" t="s">
        <v>294</v>
      </c>
      <c r="C142" s="15" t="s">
        <v>66</v>
      </c>
      <c r="D142" s="2" t="s">
        <v>70</v>
      </c>
      <c r="E142" s="2" t="s">
        <v>295</v>
      </c>
      <c r="F142" s="2">
        <v>151</v>
      </c>
      <c r="G142" s="2">
        <v>6597457</v>
      </c>
      <c r="H142" s="2">
        <v>5285205</v>
      </c>
      <c r="I142" s="2">
        <v>2.5000000000000001E-2</v>
      </c>
      <c r="J142" s="2">
        <v>7.4999999999999997E-2</v>
      </c>
      <c r="K142" s="11">
        <v>0.03</v>
      </c>
      <c r="L142" s="2">
        <v>596386</v>
      </c>
      <c r="M142" s="2">
        <v>10974</v>
      </c>
      <c r="N142" s="3">
        <v>4568</v>
      </c>
      <c r="O142" s="2">
        <v>13555</v>
      </c>
      <c r="P142" s="2">
        <v>54.345999999999997</v>
      </c>
      <c r="Q142" s="2">
        <v>29.48</v>
      </c>
      <c r="R142" s="2">
        <v>0.28210000000000002</v>
      </c>
      <c r="S142" s="2">
        <v>0.70959132610508757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>
        <v>0.16089999999999999</v>
      </c>
      <c r="AH142" s="2"/>
      <c r="AI142" s="2"/>
      <c r="AJ142" s="2"/>
      <c r="AK142" s="2">
        <v>5.6500000000000002E-2</v>
      </c>
      <c r="AL142" s="2">
        <v>27557</v>
      </c>
      <c r="AM142" s="2">
        <v>2</v>
      </c>
    </row>
    <row r="143" spans="1:45">
      <c r="A143" t="s">
        <v>293</v>
      </c>
      <c r="B143" t="s">
        <v>294</v>
      </c>
      <c r="C143" s="16" t="s">
        <v>61</v>
      </c>
      <c r="D143" t="s">
        <v>70</v>
      </c>
      <c r="E143" s="2" t="s">
        <v>296</v>
      </c>
      <c r="F143">
        <v>151</v>
      </c>
      <c r="G143">
        <v>6400901</v>
      </c>
      <c r="H143">
        <v>5219184</v>
      </c>
      <c r="I143">
        <v>2.5000000000000001E-2</v>
      </c>
      <c r="J143">
        <v>7.4999999999999997E-2</v>
      </c>
      <c r="K143" s="11">
        <v>0.03</v>
      </c>
      <c r="L143">
        <v>581663</v>
      </c>
      <c r="M143">
        <v>10851</v>
      </c>
      <c r="O143">
        <v>13370</v>
      </c>
      <c r="P143">
        <v>53.604999999999997</v>
      </c>
      <c r="Q143">
        <v>28.649000000000001</v>
      </c>
      <c r="R143">
        <v>0.2616</v>
      </c>
      <c r="S143" s="2">
        <v>0.70959132610508757</v>
      </c>
      <c r="AG143">
        <v>0.16320000000000001</v>
      </c>
    </row>
    <row r="144" spans="1:45">
      <c r="A144" s="2" t="s">
        <v>293</v>
      </c>
      <c r="B144" s="2" t="s">
        <v>294</v>
      </c>
      <c r="C144" s="16" t="s">
        <v>64</v>
      </c>
      <c r="D144" s="2" t="s">
        <v>70</v>
      </c>
      <c r="E144" s="2" t="s">
        <v>297</v>
      </c>
      <c r="F144" s="2">
        <v>151</v>
      </c>
      <c r="G144" s="2">
        <v>6745299</v>
      </c>
      <c r="H144" s="2">
        <v>5440867</v>
      </c>
      <c r="I144" s="2">
        <v>2.5000000000000001E-2</v>
      </c>
      <c r="J144" s="2">
        <v>7.4999999999999997E-2</v>
      </c>
      <c r="K144" s="11">
        <v>0.03</v>
      </c>
      <c r="L144" s="2">
        <v>586369</v>
      </c>
      <c r="M144" s="2">
        <v>10567</v>
      </c>
      <c r="N144" s="2">
        <v>4984</v>
      </c>
      <c r="O144" s="2">
        <v>13647</v>
      </c>
      <c r="P144" s="2">
        <v>55.491</v>
      </c>
      <c r="Q144" s="2">
        <v>30.605</v>
      </c>
      <c r="R144" s="2">
        <v>0.2873</v>
      </c>
      <c r="S144" s="2">
        <v>0.70959132610508757</v>
      </c>
      <c r="AG144">
        <v>0.158</v>
      </c>
    </row>
    <row r="145" spans="1:39">
      <c r="A145" s="2" t="s">
        <v>298</v>
      </c>
      <c r="B145" t="s">
        <v>299</v>
      </c>
      <c r="C145" s="16" t="s">
        <v>61</v>
      </c>
      <c r="D145" t="s">
        <v>70</v>
      </c>
      <c r="E145" s="2" t="s">
        <v>300</v>
      </c>
      <c r="F145">
        <v>55</v>
      </c>
      <c r="K145" s="11">
        <v>0.03</v>
      </c>
      <c r="AG145" s="6"/>
    </row>
    <row r="146" spans="1:39">
      <c r="A146" s="2" t="s">
        <v>298</v>
      </c>
      <c r="B146" s="2" t="s">
        <v>299</v>
      </c>
      <c r="C146" s="16" t="s">
        <v>64</v>
      </c>
      <c r="D146" s="2" t="s">
        <v>70</v>
      </c>
      <c r="E146" s="2" t="s">
        <v>301</v>
      </c>
      <c r="F146" s="2">
        <v>55</v>
      </c>
      <c r="G146" s="11"/>
      <c r="H146" s="11"/>
      <c r="I146" s="11">
        <v>2.5000000000000001E-2</v>
      </c>
      <c r="J146" s="11">
        <v>7.0000000000000007E-2</v>
      </c>
      <c r="K146" s="11">
        <v>0.03</v>
      </c>
      <c r="L146" s="11"/>
      <c r="M146" s="11"/>
      <c r="N146" s="2">
        <v>152142</v>
      </c>
      <c r="O146" s="11"/>
      <c r="P146" s="11"/>
      <c r="Q146" s="11"/>
      <c r="R146" s="11"/>
      <c r="AG146" s="6"/>
    </row>
    <row r="147" spans="1:39">
      <c r="A147" s="2" t="s">
        <v>298</v>
      </c>
      <c r="B147" s="2" t="s">
        <v>299</v>
      </c>
      <c r="C147" s="15" t="s">
        <v>66</v>
      </c>
      <c r="D147" s="2" t="s">
        <v>70</v>
      </c>
      <c r="E147" s="2" t="s">
        <v>302</v>
      </c>
      <c r="F147" s="2">
        <v>55</v>
      </c>
      <c r="G147" s="11"/>
      <c r="H147" s="11"/>
      <c r="I147" s="11">
        <v>2.5000000000000001E-2</v>
      </c>
      <c r="J147" s="11">
        <v>7.0000000000000007E-2</v>
      </c>
      <c r="K147" s="11">
        <v>0.03</v>
      </c>
      <c r="L147" s="11"/>
      <c r="M147" s="11"/>
      <c r="N147" s="3">
        <v>198356</v>
      </c>
      <c r="O147" s="11"/>
      <c r="P147" s="11"/>
      <c r="Q147" s="11"/>
      <c r="R147" s="11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7"/>
      <c r="AH147" s="2"/>
      <c r="AI147" s="2"/>
      <c r="AJ147" s="2"/>
      <c r="AK147" s="2">
        <v>0</v>
      </c>
      <c r="AL147" s="2"/>
      <c r="AM147" s="2">
        <v>2</v>
      </c>
    </row>
    <row r="148" spans="1:39">
      <c r="A148" t="s">
        <v>303</v>
      </c>
      <c r="B148" s="2" t="s">
        <v>304</v>
      </c>
      <c r="C148" s="16" t="s">
        <v>61</v>
      </c>
      <c r="D148" t="s">
        <v>62</v>
      </c>
      <c r="E148" t="s">
        <v>305</v>
      </c>
      <c r="F148" s="2">
        <v>41</v>
      </c>
      <c r="G148" s="2">
        <v>278950.8</v>
      </c>
      <c r="H148" s="2">
        <v>163509.5</v>
      </c>
      <c r="I148" s="11"/>
      <c r="J148" s="4"/>
      <c r="K148" s="11">
        <v>0.03</v>
      </c>
      <c r="L148" s="2">
        <v>40740.79</v>
      </c>
      <c r="M148" s="2">
        <v>989</v>
      </c>
      <c r="N148" s="11"/>
      <c r="O148" s="2">
        <v>726</v>
      </c>
      <c r="P148" s="11"/>
      <c r="Q148" s="11"/>
      <c r="R148" s="2">
        <v>0.52180000000000004</v>
      </c>
      <c r="AG148" s="2">
        <v>0.14641799999999999</v>
      </c>
    </row>
    <row r="149" spans="1:39">
      <c r="A149" t="s">
        <v>306</v>
      </c>
      <c r="B149" t="s">
        <v>307</v>
      </c>
      <c r="C149" s="16" t="s">
        <v>61</v>
      </c>
      <c r="D149" t="s">
        <v>70</v>
      </c>
      <c r="E149" s="2" t="s">
        <v>308</v>
      </c>
      <c r="F149">
        <v>158</v>
      </c>
      <c r="G149">
        <v>3264476.8480000002</v>
      </c>
      <c r="H149">
        <v>3097585.7779999999</v>
      </c>
      <c r="K149" s="11">
        <v>0.03</v>
      </c>
      <c r="L149">
        <v>623435.26599999995</v>
      </c>
      <c r="M149">
        <v>11646</v>
      </c>
      <c r="O149">
        <v>8916</v>
      </c>
      <c r="P149">
        <v>53.531999999999996</v>
      </c>
      <c r="Q149">
        <v>17.449000000000002</v>
      </c>
      <c r="R149">
        <v>0.12106</v>
      </c>
      <c r="AG149">
        <v>8.899E-2</v>
      </c>
    </row>
    <row r="150" spans="1:39">
      <c r="A150" s="2" t="s">
        <v>306</v>
      </c>
      <c r="B150" s="2" t="s">
        <v>307</v>
      </c>
      <c r="C150" s="16" t="s">
        <v>64</v>
      </c>
      <c r="D150" s="2" t="s">
        <v>70</v>
      </c>
      <c r="E150" s="2" t="s">
        <v>309</v>
      </c>
      <c r="F150" s="2">
        <v>158</v>
      </c>
      <c r="G150" s="2">
        <v>3548735</v>
      </c>
      <c r="H150" s="2">
        <v>3312807</v>
      </c>
      <c r="I150" s="11">
        <v>2.5000000000000001E-2</v>
      </c>
      <c r="J150" s="2">
        <v>7.2499999999999995E-2</v>
      </c>
      <c r="K150" s="11">
        <v>0.03</v>
      </c>
      <c r="L150" s="2">
        <v>662803.80000000005</v>
      </c>
      <c r="M150" s="2">
        <v>12055</v>
      </c>
      <c r="N150" s="2">
        <v>8663</v>
      </c>
      <c r="O150" s="2">
        <v>9459</v>
      </c>
      <c r="P150" s="2">
        <v>54.981999999999999</v>
      </c>
      <c r="Q150" s="2">
        <v>18.239999999999998</v>
      </c>
      <c r="R150" s="2">
        <v>0.12881000000000001</v>
      </c>
      <c r="AG150">
        <v>8.7290000000000006E-2</v>
      </c>
    </row>
    <row r="151" spans="1:39">
      <c r="A151" s="2" t="s">
        <v>306</v>
      </c>
      <c r="B151" s="2" t="s">
        <v>307</v>
      </c>
      <c r="C151" s="15" t="s">
        <v>66</v>
      </c>
      <c r="D151" s="2" t="s">
        <v>70</v>
      </c>
      <c r="E151" s="2" t="s">
        <v>310</v>
      </c>
      <c r="F151" s="2">
        <v>158</v>
      </c>
      <c r="G151" s="2">
        <v>3368176</v>
      </c>
      <c r="H151" s="2">
        <v>3203495</v>
      </c>
      <c r="I151" s="11">
        <v>2.5000000000000001E-2</v>
      </c>
      <c r="J151" s="2">
        <v>7.2499999999999995E-2</v>
      </c>
      <c r="K151" s="11">
        <v>0.03</v>
      </c>
      <c r="L151" s="2">
        <v>638020.4</v>
      </c>
      <c r="M151" s="2">
        <v>11828</v>
      </c>
      <c r="N151" s="3">
        <v>8638</v>
      </c>
      <c r="O151" s="2">
        <v>9363</v>
      </c>
      <c r="P151" s="2">
        <v>53.942</v>
      </c>
      <c r="Q151" s="2">
        <v>17.974</v>
      </c>
      <c r="R151" s="2">
        <v>0.12057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>
        <v>8.9510000000000006E-2</v>
      </c>
      <c r="AH151" s="2"/>
      <c r="AI151" s="2"/>
      <c r="AJ151" s="2"/>
      <c r="AK151" s="2">
        <v>0</v>
      </c>
      <c r="AL151" s="2">
        <v>24641</v>
      </c>
      <c r="AM151" s="2">
        <v>2</v>
      </c>
    </row>
    <row r="152" spans="1:39">
      <c r="A152" s="2" t="s">
        <v>311</v>
      </c>
      <c r="B152" t="s">
        <v>312</v>
      </c>
      <c r="C152" s="16" t="s">
        <v>61</v>
      </c>
      <c r="D152" t="s">
        <v>70</v>
      </c>
      <c r="E152" s="2" t="s">
        <v>313</v>
      </c>
      <c r="F152">
        <v>180</v>
      </c>
      <c r="G152">
        <v>658352.62600000005</v>
      </c>
      <c r="H152">
        <v>403015.342</v>
      </c>
      <c r="J152">
        <v>7.4999999999999997E-2</v>
      </c>
      <c r="K152" s="11">
        <v>0.03</v>
      </c>
      <c r="L152">
        <v>128530.07799999999</v>
      </c>
      <c r="M152">
        <v>2873</v>
      </c>
      <c r="O152">
        <v>2143</v>
      </c>
      <c r="P152">
        <v>44.737000000000002</v>
      </c>
      <c r="Q152">
        <v>22.231000000000002</v>
      </c>
      <c r="R152">
        <v>0.22320000000000001</v>
      </c>
      <c r="AG152">
        <v>7.3899999999999993E-2</v>
      </c>
    </row>
    <row r="153" spans="1:39">
      <c r="A153" s="2" t="s">
        <v>311</v>
      </c>
      <c r="B153" s="2" t="s">
        <v>312</v>
      </c>
      <c r="C153" s="16" t="s">
        <v>64</v>
      </c>
      <c r="D153" s="2" t="s">
        <v>70</v>
      </c>
      <c r="E153" s="2" t="s">
        <v>314</v>
      </c>
      <c r="F153" s="2">
        <v>180</v>
      </c>
      <c r="G153" s="2">
        <v>746340.3</v>
      </c>
      <c r="H153" s="2">
        <v>435149.1</v>
      </c>
      <c r="I153" s="11">
        <v>2.5000000000000001E-2</v>
      </c>
      <c r="J153" s="2">
        <v>7.0000000000000007E-2</v>
      </c>
      <c r="K153" s="11">
        <v>0.03</v>
      </c>
      <c r="L153" s="2">
        <v>135779.79999999999</v>
      </c>
      <c r="M153" s="2">
        <v>2648</v>
      </c>
      <c r="N153" s="2">
        <v>314</v>
      </c>
      <c r="O153" s="2">
        <v>2151</v>
      </c>
      <c r="P153" s="2">
        <v>51.276000000000003</v>
      </c>
      <c r="Q153" s="11"/>
      <c r="R153" s="2">
        <v>0.17660000000000001</v>
      </c>
      <c r="AG153">
        <v>8.3500000000000005E-2</v>
      </c>
    </row>
    <row r="154" spans="1:39">
      <c r="A154" s="2" t="s">
        <v>311</v>
      </c>
      <c r="B154" s="2" t="s">
        <v>312</v>
      </c>
      <c r="C154" s="15" t="s">
        <v>66</v>
      </c>
      <c r="D154" s="2" t="s">
        <v>70</v>
      </c>
      <c r="E154" s="2" t="s">
        <v>315</v>
      </c>
      <c r="F154" s="2">
        <v>180</v>
      </c>
      <c r="G154" s="2">
        <v>723145.4</v>
      </c>
      <c r="H154" s="2">
        <v>425079.1</v>
      </c>
      <c r="I154" s="11">
        <v>2.5000000000000001E-2</v>
      </c>
      <c r="J154" s="2">
        <v>7.2499999999999995E-2</v>
      </c>
      <c r="K154" s="11">
        <v>0.03</v>
      </c>
      <c r="L154" s="2">
        <v>149538</v>
      </c>
      <c r="M154" s="2">
        <v>3024</v>
      </c>
      <c r="N154" s="3">
        <v>298</v>
      </c>
      <c r="O154" s="2">
        <v>2130</v>
      </c>
      <c r="P154" s="2">
        <v>49.45</v>
      </c>
      <c r="Q154" s="2">
        <v>21.664999999999999</v>
      </c>
      <c r="R154" s="2">
        <v>0.15310000000000001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>
        <v>8.2799999999999999E-2</v>
      </c>
      <c r="AH154" s="2"/>
      <c r="AI154" s="2"/>
      <c r="AJ154" s="2"/>
      <c r="AK154" s="2">
        <v>0.06</v>
      </c>
      <c r="AL154" s="2">
        <v>5452</v>
      </c>
      <c r="AM154" s="2">
        <v>2</v>
      </c>
    </row>
    <row r="155" spans="1:39">
      <c r="A155" t="s">
        <v>311</v>
      </c>
      <c r="B155" s="2" t="s">
        <v>316</v>
      </c>
      <c r="C155" s="16" t="s">
        <v>61</v>
      </c>
      <c r="D155" t="s">
        <v>75</v>
      </c>
      <c r="E155" t="s">
        <v>317</v>
      </c>
      <c r="F155" s="2" t="s">
        <v>318</v>
      </c>
      <c r="G155" s="2">
        <v>416164.8</v>
      </c>
      <c r="H155" s="2">
        <v>42194.61</v>
      </c>
      <c r="I155" s="11"/>
      <c r="J155" s="4"/>
      <c r="K155" s="11">
        <v>0.03</v>
      </c>
      <c r="L155" s="2">
        <v>27762.48</v>
      </c>
      <c r="M155" s="2">
        <v>513</v>
      </c>
      <c r="N155" s="11"/>
      <c r="O155" s="11">
        <v>0</v>
      </c>
      <c r="P155" s="11"/>
      <c r="Q155" s="11"/>
      <c r="R155" s="2">
        <v>1.809582</v>
      </c>
      <c r="AG155" s="2">
        <v>0.22419700000000001</v>
      </c>
    </row>
    <row r="156" spans="1:39">
      <c r="A156" s="2" t="s">
        <v>319</v>
      </c>
      <c r="B156" s="2" t="s">
        <v>320</v>
      </c>
      <c r="C156" s="15" t="s">
        <v>66</v>
      </c>
      <c r="D156" s="2" t="s">
        <v>154</v>
      </c>
      <c r="E156" s="2" t="s">
        <v>321</v>
      </c>
      <c r="F156" s="2">
        <v>211</v>
      </c>
      <c r="G156" s="7">
        <v>5266066</v>
      </c>
      <c r="H156" s="11"/>
      <c r="I156" s="11">
        <v>2.5000000000000001E-2</v>
      </c>
      <c r="J156" s="2">
        <v>7.0000000000000007E-2</v>
      </c>
      <c r="K156" s="11">
        <v>0.03</v>
      </c>
      <c r="L156" s="9">
        <v>1264079</v>
      </c>
      <c r="M156" s="10">
        <v>25864</v>
      </c>
      <c r="N156" s="10">
        <v>12459</v>
      </c>
      <c r="O156" s="10">
        <v>18041</v>
      </c>
      <c r="P156" s="11"/>
      <c r="Q156" s="11"/>
      <c r="R156" s="11"/>
      <c r="S156" s="2">
        <v>0.42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H156" s="2"/>
      <c r="AI156" s="2"/>
      <c r="AJ156" s="2"/>
      <c r="AK156" s="2">
        <v>0</v>
      </c>
      <c r="AL156" s="2"/>
      <c r="AM156" s="2">
        <v>2</v>
      </c>
    </row>
    <row r="157" spans="1:39">
      <c r="A157" t="s">
        <v>319</v>
      </c>
      <c r="B157" t="s">
        <v>320</v>
      </c>
      <c r="C157" s="16" t="s">
        <v>61</v>
      </c>
      <c r="D157" t="s">
        <v>154</v>
      </c>
      <c r="E157" s="2" t="s">
        <v>322</v>
      </c>
      <c r="F157">
        <v>211</v>
      </c>
      <c r="G157">
        <v>5103583</v>
      </c>
      <c r="H157">
        <v>3908833</v>
      </c>
      <c r="I157">
        <v>2.5000000000000001E-2</v>
      </c>
      <c r="J157">
        <v>7.0000000000000007E-2</v>
      </c>
      <c r="K157" s="11">
        <v>0.03</v>
      </c>
      <c r="L157">
        <v>1280302</v>
      </c>
      <c r="M157">
        <v>25864</v>
      </c>
      <c r="O157">
        <v>18041</v>
      </c>
      <c r="P157">
        <v>49.500999999999998</v>
      </c>
      <c r="Q157">
        <v>14.047000000000001</v>
      </c>
      <c r="R157">
        <v>0.20113</v>
      </c>
      <c r="S157" s="2">
        <v>0.42</v>
      </c>
      <c r="AG157">
        <v>0.14052999999999999</v>
      </c>
    </row>
    <row r="158" spans="1:39">
      <c r="A158" s="2" t="s">
        <v>319</v>
      </c>
      <c r="B158" s="2" t="s">
        <v>323</v>
      </c>
      <c r="C158" s="15" t="s">
        <v>66</v>
      </c>
      <c r="D158" s="2" t="s">
        <v>70</v>
      </c>
      <c r="E158" s="2" t="s">
        <v>324</v>
      </c>
      <c r="F158" s="2">
        <v>76</v>
      </c>
      <c r="G158" s="7">
        <v>86034569</v>
      </c>
      <c r="H158" s="11"/>
      <c r="I158" s="11">
        <v>2.5000000000000001E-2</v>
      </c>
      <c r="J158" s="11">
        <v>7.0000000000000007E-2</v>
      </c>
      <c r="K158" s="11">
        <v>0.03</v>
      </c>
      <c r="L158" s="9">
        <v>14459118</v>
      </c>
      <c r="M158" s="10">
        <v>190572</v>
      </c>
      <c r="N158" s="10">
        <v>49872</v>
      </c>
      <c r="O158" s="10">
        <v>154116</v>
      </c>
      <c r="P158" s="2">
        <v>75.872</v>
      </c>
      <c r="Q158" s="2">
        <v>29.821000000000002</v>
      </c>
      <c r="R158" s="11"/>
      <c r="S158" s="2">
        <v>0.42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6"/>
      <c r="AH158" s="2"/>
      <c r="AI158" s="2"/>
      <c r="AJ158" s="2"/>
      <c r="AK158" s="2">
        <v>0</v>
      </c>
      <c r="AL158" s="2">
        <v>366077</v>
      </c>
      <c r="AM158" s="2">
        <v>2</v>
      </c>
    </row>
    <row r="159" spans="1:39">
      <c r="A159" s="2" t="s">
        <v>319</v>
      </c>
      <c r="B159" t="s">
        <v>323</v>
      </c>
      <c r="C159" s="16" t="s">
        <v>61</v>
      </c>
      <c r="D159" t="s">
        <v>70</v>
      </c>
      <c r="E159" s="2" t="s">
        <v>325</v>
      </c>
      <c r="F159">
        <v>76</v>
      </c>
      <c r="G159">
        <v>85845125</v>
      </c>
      <c r="H159">
        <v>63615892</v>
      </c>
      <c r="I159">
        <v>2.5000000000000001E-2</v>
      </c>
      <c r="J159">
        <v>7.0000000000000007E-2</v>
      </c>
      <c r="K159" s="11">
        <v>0.03</v>
      </c>
      <c r="L159">
        <v>14459118</v>
      </c>
      <c r="M159">
        <v>190572</v>
      </c>
      <c r="O159">
        <v>154116</v>
      </c>
      <c r="P159">
        <v>75.872</v>
      </c>
      <c r="Q159">
        <v>29.821000000000002</v>
      </c>
      <c r="R159">
        <v>0.25774000000000002</v>
      </c>
      <c r="S159" s="2">
        <v>0.42</v>
      </c>
      <c r="AG159">
        <v>0.14523</v>
      </c>
    </row>
    <row r="160" spans="1:39">
      <c r="A160" s="2" t="s">
        <v>319</v>
      </c>
      <c r="B160" s="2" t="s">
        <v>323</v>
      </c>
      <c r="C160" s="16" t="s">
        <v>64</v>
      </c>
      <c r="D160" s="2" t="s">
        <v>70</v>
      </c>
      <c r="E160" s="2" t="s">
        <v>326</v>
      </c>
      <c r="F160" s="2">
        <v>76</v>
      </c>
      <c r="G160" s="7">
        <v>89884946</v>
      </c>
      <c r="H160" s="11"/>
      <c r="I160" s="11">
        <v>2.5000000000000001E-2</v>
      </c>
      <c r="J160" s="11">
        <v>7.0000000000000007E-2</v>
      </c>
      <c r="K160" s="11">
        <v>0.03</v>
      </c>
      <c r="L160" s="9">
        <v>14981461</v>
      </c>
      <c r="M160" s="10">
        <v>190572</v>
      </c>
      <c r="N160" s="9">
        <v>49872</v>
      </c>
      <c r="O160" s="10">
        <v>154116</v>
      </c>
      <c r="P160" s="11"/>
      <c r="Q160" s="11"/>
      <c r="R160" s="11"/>
      <c r="S160" s="2">
        <v>0.42</v>
      </c>
      <c r="AG160" s="6"/>
    </row>
    <row r="161" spans="1:39">
      <c r="A161" s="2" t="s">
        <v>319</v>
      </c>
      <c r="B161" s="2" t="s">
        <v>327</v>
      </c>
      <c r="C161" s="15" t="s">
        <v>66</v>
      </c>
      <c r="D161" s="2" t="s">
        <v>75</v>
      </c>
      <c r="E161" s="2" t="s">
        <v>328</v>
      </c>
      <c r="F161" s="2">
        <v>149</v>
      </c>
      <c r="G161" s="7">
        <v>22477031</v>
      </c>
      <c r="H161" s="11"/>
      <c r="I161" s="11">
        <v>2.5000000000000001E-2</v>
      </c>
      <c r="J161" s="2">
        <v>7.0000000000000007E-2</v>
      </c>
      <c r="K161" s="11">
        <v>0.03</v>
      </c>
      <c r="L161" s="9">
        <v>1302872</v>
      </c>
      <c r="M161" s="10">
        <v>11237</v>
      </c>
      <c r="N161" s="10">
        <v>103</v>
      </c>
      <c r="O161" s="10">
        <v>16593</v>
      </c>
      <c r="P161" s="2">
        <v>116220</v>
      </c>
      <c r="Q161" s="2">
        <v>74.778999999999996</v>
      </c>
      <c r="R161" s="11"/>
      <c r="S161" s="2">
        <v>0.42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H161" s="2"/>
      <c r="AI161" s="2"/>
      <c r="AJ161" s="2"/>
      <c r="AK161" s="2">
        <v>0</v>
      </c>
      <c r="AL161" s="2">
        <v>27898</v>
      </c>
      <c r="AM161" s="2">
        <v>2</v>
      </c>
    </row>
    <row r="162" spans="1:39">
      <c r="A162" s="2" t="s">
        <v>319</v>
      </c>
      <c r="B162" t="s">
        <v>327</v>
      </c>
      <c r="C162" s="16" t="s">
        <v>61</v>
      </c>
      <c r="D162" s="2" t="s">
        <v>75</v>
      </c>
      <c r="E162" s="2" t="s">
        <v>329</v>
      </c>
      <c r="F162">
        <v>149</v>
      </c>
      <c r="G162">
        <v>21787888</v>
      </c>
      <c r="H162">
        <v>12876671</v>
      </c>
      <c r="I162">
        <v>2.5000000000000001E-2</v>
      </c>
      <c r="J162">
        <v>7.0000000000000007E-2</v>
      </c>
      <c r="K162" s="11">
        <v>0.03</v>
      </c>
      <c r="L162">
        <v>1305960</v>
      </c>
      <c r="M162">
        <v>11237</v>
      </c>
      <c r="O162">
        <v>16593</v>
      </c>
      <c r="P162">
        <v>116220</v>
      </c>
      <c r="Q162">
        <v>74.778999999999996</v>
      </c>
      <c r="R162">
        <v>1.0867599999999999</v>
      </c>
      <c r="S162" s="2">
        <v>0.42</v>
      </c>
      <c r="AG162">
        <v>0.53622999999999998</v>
      </c>
    </row>
    <row r="163" spans="1:39">
      <c r="A163" s="2" t="s">
        <v>319</v>
      </c>
      <c r="B163" s="2" t="s">
        <v>327</v>
      </c>
      <c r="C163" s="16" t="s">
        <v>64</v>
      </c>
      <c r="D163" s="2" t="s">
        <v>75</v>
      </c>
      <c r="E163" s="2" t="s">
        <v>330</v>
      </c>
      <c r="F163" s="2">
        <v>149</v>
      </c>
      <c r="G163" s="7">
        <v>23302435</v>
      </c>
      <c r="H163" s="11"/>
      <c r="I163" s="11">
        <v>2.5000000000000001E-2</v>
      </c>
      <c r="J163" s="2">
        <v>7.0000000000000007E-2</v>
      </c>
      <c r="K163" s="11">
        <v>0.03</v>
      </c>
      <c r="L163" s="9">
        <v>1336843</v>
      </c>
      <c r="M163" s="10">
        <v>11237</v>
      </c>
      <c r="N163" s="10">
        <v>103</v>
      </c>
      <c r="O163" s="10">
        <v>16593</v>
      </c>
      <c r="P163" s="11"/>
      <c r="Q163" s="11"/>
      <c r="R163" s="2">
        <v>0.60665999999999998</v>
      </c>
      <c r="S163" s="2">
        <v>0.42</v>
      </c>
    </row>
    <row r="164" spans="1:39">
      <c r="A164" s="2" t="s">
        <v>319</v>
      </c>
      <c r="B164" s="2" t="s">
        <v>331</v>
      </c>
      <c r="C164" s="15" t="s">
        <v>66</v>
      </c>
      <c r="D164" s="2" t="s">
        <v>80</v>
      </c>
      <c r="E164" s="2" t="s">
        <v>332</v>
      </c>
      <c r="F164" s="2">
        <v>150</v>
      </c>
      <c r="G164" s="7">
        <v>49089967</v>
      </c>
      <c r="H164" s="11"/>
      <c r="I164" s="11">
        <v>2.5000000000000001E-2</v>
      </c>
      <c r="J164" s="2">
        <v>7.0000000000000007E-2</v>
      </c>
      <c r="K164" s="11">
        <v>0.03</v>
      </c>
      <c r="L164" s="9">
        <v>4047772</v>
      </c>
      <c r="M164" s="10">
        <v>36562</v>
      </c>
      <c r="N164" s="10">
        <v>2431</v>
      </c>
      <c r="O164" s="10">
        <v>50124</v>
      </c>
      <c r="P164" s="2">
        <v>110.858</v>
      </c>
      <c r="Q164" s="2">
        <v>51.619</v>
      </c>
      <c r="R164" s="11"/>
      <c r="S164" s="2">
        <v>0.42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H164" s="2"/>
      <c r="AI164" s="2"/>
      <c r="AJ164" s="2"/>
      <c r="AK164" s="2">
        <v>0</v>
      </c>
      <c r="AL164" s="2">
        <v>87177</v>
      </c>
      <c r="AM164" s="2">
        <v>2</v>
      </c>
    </row>
    <row r="165" spans="1:39">
      <c r="A165" s="2" t="s">
        <v>319</v>
      </c>
      <c r="B165" t="s">
        <v>331</v>
      </c>
      <c r="C165" s="16" t="s">
        <v>61</v>
      </c>
      <c r="D165" s="2" t="s">
        <v>80</v>
      </c>
      <c r="E165" s="2" t="s">
        <v>333</v>
      </c>
      <c r="F165">
        <v>150</v>
      </c>
      <c r="G165">
        <v>48024798</v>
      </c>
      <c r="H165">
        <v>36098314</v>
      </c>
      <c r="I165">
        <v>2.5000000000000001E-2</v>
      </c>
      <c r="J165">
        <v>7.0000000000000007E-2</v>
      </c>
      <c r="K165" s="11">
        <v>0.03</v>
      </c>
      <c r="L165">
        <v>4053205</v>
      </c>
      <c r="M165">
        <v>36562</v>
      </c>
      <c r="O165">
        <v>50124</v>
      </c>
      <c r="P165">
        <v>110.858</v>
      </c>
      <c r="Q165">
        <v>51.619</v>
      </c>
      <c r="S165" s="2">
        <v>0.42</v>
      </c>
    </row>
    <row r="166" spans="1:39">
      <c r="A166" s="2" t="s">
        <v>319</v>
      </c>
      <c r="B166" s="2" t="s">
        <v>331</v>
      </c>
      <c r="C166" s="16" t="s">
        <v>64</v>
      </c>
      <c r="D166" s="2" t="s">
        <v>80</v>
      </c>
      <c r="E166" s="2" t="s">
        <v>334</v>
      </c>
      <c r="F166" s="2">
        <v>150</v>
      </c>
      <c r="G166" s="7">
        <v>51317492</v>
      </c>
      <c r="H166" s="11"/>
      <c r="I166" s="11">
        <v>2.5000000000000001E-2</v>
      </c>
      <c r="J166" s="2">
        <v>7.0000000000000007E-2</v>
      </c>
      <c r="K166" s="11">
        <v>0.03</v>
      </c>
      <c r="L166" s="9">
        <v>4244806</v>
      </c>
      <c r="M166" s="10">
        <v>36562</v>
      </c>
      <c r="N166" s="10">
        <v>2431</v>
      </c>
      <c r="O166" s="10">
        <v>50124</v>
      </c>
      <c r="P166" s="2">
        <v>88.406999999999996</v>
      </c>
      <c r="Q166" s="2">
        <v>50.704000000000001</v>
      </c>
      <c r="R166" s="11"/>
      <c r="S166" s="2">
        <v>0.42</v>
      </c>
      <c r="AG166">
        <v>0.66173999999999999</v>
      </c>
    </row>
    <row r="167" spans="1:39">
      <c r="A167" s="2" t="s">
        <v>319</v>
      </c>
      <c r="B167" s="2" t="s">
        <v>335</v>
      </c>
      <c r="C167" s="15" t="s">
        <v>66</v>
      </c>
      <c r="D167" s="2" t="s">
        <v>154</v>
      </c>
      <c r="E167" s="2" t="s">
        <v>336</v>
      </c>
      <c r="F167" s="2">
        <v>77</v>
      </c>
      <c r="G167" s="7">
        <v>73346850</v>
      </c>
      <c r="H167" s="11"/>
      <c r="I167" s="11">
        <v>2.5000000000000001E-2</v>
      </c>
      <c r="J167" s="2">
        <v>7.0000000000000007E-2</v>
      </c>
      <c r="K167" s="11">
        <v>0.03</v>
      </c>
      <c r="L167" s="9">
        <v>10404404</v>
      </c>
      <c r="M167" s="10">
        <v>123336</v>
      </c>
      <c r="N167" s="10">
        <v>21584</v>
      </c>
      <c r="O167" s="9">
        <v>88507</v>
      </c>
      <c r="P167" s="2">
        <v>88.406999999999996</v>
      </c>
      <c r="Q167" s="2">
        <v>50.704000000000001</v>
      </c>
      <c r="R167" s="11"/>
      <c r="S167" s="2">
        <v>0.42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H167" s="2"/>
      <c r="AI167" s="2"/>
      <c r="AJ167" s="2"/>
      <c r="AK167" s="2">
        <v>0</v>
      </c>
      <c r="AL167" s="2">
        <v>225253</v>
      </c>
      <c r="AM167" s="2">
        <v>5</v>
      </c>
    </row>
    <row r="168" spans="1:39">
      <c r="A168" t="s">
        <v>319</v>
      </c>
      <c r="B168" t="s">
        <v>335</v>
      </c>
      <c r="C168" s="16" t="s">
        <v>61</v>
      </c>
      <c r="D168" t="s">
        <v>154</v>
      </c>
      <c r="E168" s="2" t="s">
        <v>337</v>
      </c>
      <c r="F168">
        <v>77</v>
      </c>
      <c r="G168">
        <v>72205318</v>
      </c>
      <c r="H168">
        <v>50012149</v>
      </c>
      <c r="I168">
        <v>2.5000000000000001E-2</v>
      </c>
      <c r="J168">
        <v>7.0000000000000007E-2</v>
      </c>
      <c r="K168" s="11">
        <v>0.03</v>
      </c>
      <c r="L168">
        <v>10404404</v>
      </c>
      <c r="M168">
        <v>121764</v>
      </c>
      <c r="O168">
        <v>86295</v>
      </c>
      <c r="P168">
        <v>85.447000000000003</v>
      </c>
      <c r="Q168">
        <v>49.067</v>
      </c>
      <c r="R168">
        <v>0.34511999999999998</v>
      </c>
      <c r="S168" s="2">
        <v>0.42</v>
      </c>
      <c r="AG168">
        <v>0.14934</v>
      </c>
    </row>
    <row r="169" spans="1:39">
      <c r="A169" s="2" t="s">
        <v>319</v>
      </c>
      <c r="B169" s="2" t="s">
        <v>335</v>
      </c>
      <c r="C169" s="16" t="s">
        <v>64</v>
      </c>
      <c r="D169" s="2" t="s">
        <v>154</v>
      </c>
      <c r="E169" s="2" t="s">
        <v>338</v>
      </c>
      <c r="F169" s="2">
        <v>77</v>
      </c>
      <c r="G169" s="7">
        <v>75115996</v>
      </c>
      <c r="H169" s="11"/>
      <c r="I169" s="11">
        <v>2.5000000000000001E-2</v>
      </c>
      <c r="J169" s="2">
        <v>7.0000000000000007E-2</v>
      </c>
      <c r="K169" s="11">
        <v>0.03</v>
      </c>
      <c r="L169" s="9">
        <v>10903755</v>
      </c>
      <c r="M169" s="10">
        <v>123336</v>
      </c>
      <c r="N169" s="10">
        <v>21584</v>
      </c>
      <c r="O169" s="10">
        <v>88507</v>
      </c>
      <c r="P169" s="11"/>
      <c r="Q169" s="2">
        <v>50.704000000000001</v>
      </c>
      <c r="R169" s="11"/>
      <c r="S169" s="2">
        <v>0.42</v>
      </c>
    </row>
    <row r="170" spans="1:39">
      <c r="A170" s="2" t="s">
        <v>319</v>
      </c>
      <c r="B170" s="2" t="s">
        <v>339</v>
      </c>
      <c r="C170" s="16" t="s">
        <v>64</v>
      </c>
      <c r="D170" s="2" t="s">
        <v>154</v>
      </c>
      <c r="E170" s="2" t="s">
        <v>340</v>
      </c>
      <c r="F170" s="2">
        <v>211</v>
      </c>
      <c r="G170" s="7">
        <v>5460141</v>
      </c>
      <c r="H170" s="11"/>
      <c r="I170" s="11">
        <v>2.5000000000000001E-2</v>
      </c>
      <c r="J170" s="2">
        <v>7.0000000000000007E-2</v>
      </c>
      <c r="K170" s="11">
        <v>0.03</v>
      </c>
      <c r="L170" s="9">
        <v>1353266</v>
      </c>
      <c r="M170" s="10">
        <v>25864</v>
      </c>
      <c r="N170" s="9">
        <v>12459</v>
      </c>
      <c r="O170" s="10">
        <v>18041</v>
      </c>
      <c r="P170" s="2">
        <v>51.276000000000003</v>
      </c>
      <c r="Q170" s="11"/>
      <c r="R170" s="2">
        <v>0.17660000000000001</v>
      </c>
      <c r="S170" s="2">
        <v>0.42</v>
      </c>
    </row>
    <row r="171" spans="1:39">
      <c r="A171" t="s">
        <v>341</v>
      </c>
      <c r="B171" t="s">
        <v>342</v>
      </c>
      <c r="C171" s="16" t="s">
        <v>61</v>
      </c>
      <c r="D171" t="s">
        <v>70</v>
      </c>
      <c r="E171" s="2" t="s">
        <v>343</v>
      </c>
      <c r="F171">
        <v>178</v>
      </c>
      <c r="G171">
        <v>696669</v>
      </c>
      <c r="H171">
        <v>721090</v>
      </c>
      <c r="I171">
        <v>3.2500000000000001E-2</v>
      </c>
      <c r="J171">
        <v>7.4999999999999997E-2</v>
      </c>
      <c r="K171" s="11">
        <v>0.03</v>
      </c>
      <c r="L171">
        <v>124681</v>
      </c>
      <c r="M171">
        <v>2425</v>
      </c>
      <c r="O171">
        <v>1545</v>
      </c>
      <c r="P171">
        <v>51.414999999999999</v>
      </c>
      <c r="Q171">
        <v>22.047000000000001</v>
      </c>
      <c r="R171">
        <v>5.5599999999999997E-2</v>
      </c>
      <c r="AG171">
        <v>0.12720000000000001</v>
      </c>
    </row>
    <row r="172" spans="1:39">
      <c r="A172" s="2" t="s">
        <v>341</v>
      </c>
      <c r="B172" s="2" t="s">
        <v>342</v>
      </c>
      <c r="C172" s="16" t="s">
        <v>64</v>
      </c>
      <c r="D172" s="2" t="s">
        <v>70</v>
      </c>
      <c r="E172" s="2" t="s">
        <v>344</v>
      </c>
      <c r="F172" s="2">
        <v>178</v>
      </c>
      <c r="G172" s="2">
        <v>792457</v>
      </c>
      <c r="H172" s="2">
        <v>761919</v>
      </c>
      <c r="I172" s="2">
        <v>0.03</v>
      </c>
      <c r="J172" s="2">
        <v>7.0000000000000007E-2</v>
      </c>
      <c r="K172" s="11">
        <v>0.03</v>
      </c>
      <c r="L172" s="2">
        <v>132753</v>
      </c>
      <c r="M172" s="2">
        <v>2470</v>
      </c>
      <c r="N172" s="2">
        <v>21584</v>
      </c>
      <c r="O172" s="2">
        <v>1652</v>
      </c>
      <c r="P172" s="2">
        <v>53.746000000000002</v>
      </c>
      <c r="Q172" s="2">
        <v>23.902000000000001</v>
      </c>
      <c r="R172" s="2">
        <v>7.46E-2</v>
      </c>
      <c r="AG172">
        <v>0.1181</v>
      </c>
    </row>
    <row r="173" spans="1:39">
      <c r="A173" s="2" t="s">
        <v>341</v>
      </c>
      <c r="B173" s="2" t="s">
        <v>342</v>
      </c>
      <c r="C173" s="15" t="s">
        <v>66</v>
      </c>
      <c r="D173" s="2" t="s">
        <v>70</v>
      </c>
      <c r="E173" s="2" t="s">
        <v>345</v>
      </c>
      <c r="F173" s="2">
        <v>178</v>
      </c>
      <c r="G173" s="12">
        <v>730242</v>
      </c>
      <c r="H173" s="12">
        <v>727125</v>
      </c>
      <c r="I173" s="2">
        <v>3.2500000000000001E-2</v>
      </c>
      <c r="J173" s="2">
        <v>7.0999999999999994E-2</v>
      </c>
      <c r="K173" s="11">
        <v>0.03</v>
      </c>
      <c r="L173" s="2">
        <v>130172</v>
      </c>
      <c r="M173" s="2">
        <v>2457</v>
      </c>
      <c r="N173" s="3">
        <v>21584</v>
      </c>
      <c r="O173" s="2">
        <v>1595</v>
      </c>
      <c r="P173" s="2">
        <v>52.98</v>
      </c>
      <c r="Q173" s="2">
        <v>22.864000000000001</v>
      </c>
      <c r="R173" s="2">
        <v>6.8900000000000003E-2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>
        <v>0.1273</v>
      </c>
      <c r="AH173" s="2"/>
      <c r="AI173" s="2"/>
      <c r="AJ173" s="2"/>
      <c r="AK173" s="2">
        <v>0.06</v>
      </c>
      <c r="AL173" s="2">
        <v>4192</v>
      </c>
      <c r="AM173" s="2">
        <v>2</v>
      </c>
    </row>
    <row r="174" spans="1:39">
      <c r="A174" s="2" t="s">
        <v>346</v>
      </c>
      <c r="B174" s="2" t="s">
        <v>347</v>
      </c>
      <c r="C174" s="15" t="s">
        <v>66</v>
      </c>
      <c r="D174" s="2" t="s">
        <v>70</v>
      </c>
      <c r="E174" s="2" t="s">
        <v>348</v>
      </c>
      <c r="F174" s="2">
        <v>203</v>
      </c>
      <c r="G174" s="2">
        <v>483904.7</v>
      </c>
      <c r="H174" s="2">
        <v>253722.4</v>
      </c>
      <c r="I174" s="2">
        <v>2.5000000000000001E-2</v>
      </c>
      <c r="J174" s="2">
        <v>7.4999999999999997E-2</v>
      </c>
      <c r="K174" s="11">
        <v>0.03</v>
      </c>
      <c r="L174" s="2">
        <v>79047.56</v>
      </c>
      <c r="M174" s="2">
        <v>1239</v>
      </c>
      <c r="N174" s="3">
        <v>14</v>
      </c>
      <c r="O174" s="2">
        <v>1473</v>
      </c>
      <c r="P174" s="2">
        <v>63.798999999999999</v>
      </c>
      <c r="Q174" s="2">
        <v>24.341000000000001</v>
      </c>
      <c r="R174" s="2">
        <v>0.20879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>
        <v>9.7470000000000001E-2</v>
      </c>
      <c r="AH174" s="2"/>
      <c r="AI174" s="2"/>
      <c r="AJ174" s="2"/>
      <c r="AK174" s="2">
        <v>0.10075000000000001</v>
      </c>
      <c r="AL174" s="2">
        <v>2808</v>
      </c>
      <c r="AM174" s="2">
        <v>2</v>
      </c>
    </row>
    <row r="175" spans="1:39">
      <c r="A175" s="2" t="s">
        <v>346</v>
      </c>
      <c r="B175" t="s">
        <v>347</v>
      </c>
      <c r="C175" s="16" t="s">
        <v>61</v>
      </c>
      <c r="D175" t="s">
        <v>70</v>
      </c>
      <c r="E175" s="2" t="s">
        <v>349</v>
      </c>
      <c r="F175">
        <v>203</v>
      </c>
      <c r="G175">
        <v>482025.30499999999</v>
      </c>
      <c r="H175">
        <v>249518.54699999999</v>
      </c>
      <c r="I175">
        <v>2.5000000000000001E-2</v>
      </c>
      <c r="J175">
        <v>7.4999999999999997E-2</v>
      </c>
      <c r="K175" s="11">
        <v>0.03</v>
      </c>
      <c r="L175">
        <v>75407.531000000003</v>
      </c>
      <c r="M175">
        <v>1201</v>
      </c>
      <c r="O175">
        <v>1487</v>
      </c>
      <c r="P175">
        <v>62.786999999999999</v>
      </c>
      <c r="Q175">
        <v>23.997</v>
      </c>
      <c r="R175">
        <v>0.21587000000000001</v>
      </c>
      <c r="AG175">
        <v>9.8180000000000003E-2</v>
      </c>
    </row>
    <row r="176" spans="1:39">
      <c r="A176" s="2" t="s">
        <v>346</v>
      </c>
      <c r="B176" s="2" t="s">
        <v>347</v>
      </c>
      <c r="C176" s="16" t="s">
        <v>64</v>
      </c>
      <c r="D176" s="2" t="s">
        <v>70</v>
      </c>
      <c r="E176" s="2" t="s">
        <v>350</v>
      </c>
      <c r="F176" s="2">
        <v>203</v>
      </c>
      <c r="G176" s="2">
        <v>490096.8</v>
      </c>
      <c r="H176" s="2">
        <v>257351</v>
      </c>
      <c r="I176" s="2">
        <v>2.5000000000000001E-2</v>
      </c>
      <c r="J176" s="2">
        <v>7.4999999999999997E-2</v>
      </c>
      <c r="K176" s="11">
        <v>0.03</v>
      </c>
      <c r="L176" s="2">
        <v>86257.02</v>
      </c>
      <c r="M176" s="2">
        <v>1229</v>
      </c>
      <c r="N176" s="2">
        <v>151</v>
      </c>
      <c r="O176" s="2">
        <v>1467</v>
      </c>
      <c r="P176" s="2">
        <v>70.185000000000002</v>
      </c>
      <c r="Q176" s="2">
        <v>27.841000000000001</v>
      </c>
      <c r="R176" s="2">
        <v>0.20194000000000001</v>
      </c>
      <c r="AG176">
        <v>0.10335</v>
      </c>
    </row>
    <row r="177" spans="1:39">
      <c r="A177" s="2" t="s">
        <v>346</v>
      </c>
      <c r="B177" t="s">
        <v>351</v>
      </c>
      <c r="C177" s="16" t="s">
        <v>61</v>
      </c>
      <c r="D177" s="2" t="s">
        <v>62</v>
      </c>
      <c r="E177" s="2" t="s">
        <v>352</v>
      </c>
      <c r="F177">
        <v>172</v>
      </c>
      <c r="G177">
        <v>1406832.6640000001</v>
      </c>
      <c r="H177">
        <v>737383.005</v>
      </c>
      <c r="I177">
        <v>2.5000000000000001E-2</v>
      </c>
      <c r="J177">
        <v>7.4999999999999997E-2</v>
      </c>
      <c r="K177" s="11">
        <v>0.03</v>
      </c>
      <c r="L177">
        <v>143575.171</v>
      </c>
      <c r="M177">
        <v>1454</v>
      </c>
      <c r="O177">
        <v>1584</v>
      </c>
      <c r="P177">
        <v>94.271000000000001</v>
      </c>
      <c r="Q177">
        <v>49.496000000000002</v>
      </c>
      <c r="R177">
        <v>0.53447</v>
      </c>
      <c r="AG177">
        <v>0.22034000000000001</v>
      </c>
    </row>
    <row r="178" spans="1:39">
      <c r="A178" s="2" t="s">
        <v>346</v>
      </c>
      <c r="B178" s="2" t="s">
        <v>351</v>
      </c>
      <c r="C178" s="16" t="s">
        <v>64</v>
      </c>
      <c r="D178" s="2" t="s">
        <v>62</v>
      </c>
      <c r="E178" s="2" t="s">
        <v>353</v>
      </c>
      <c r="F178" s="2">
        <v>172</v>
      </c>
      <c r="G178" s="2">
        <v>1451453</v>
      </c>
      <c r="H178" s="2">
        <v>787558.8</v>
      </c>
      <c r="I178" s="2">
        <v>2.5000000000000001E-2</v>
      </c>
      <c r="J178" s="2">
        <v>7.4999999999999997E-2</v>
      </c>
      <c r="K178" s="11">
        <v>0.03</v>
      </c>
      <c r="L178" s="2">
        <v>147301.4</v>
      </c>
      <c r="M178" s="2">
        <v>1480</v>
      </c>
      <c r="N178" s="2">
        <v>149</v>
      </c>
      <c r="O178" s="2">
        <v>1606</v>
      </c>
      <c r="P178" s="2">
        <v>95.033000000000001</v>
      </c>
      <c r="Q178" s="2">
        <v>50.753</v>
      </c>
      <c r="R178" s="2">
        <v>0.52954999999999997</v>
      </c>
      <c r="AG178">
        <v>0.21915000000000001</v>
      </c>
    </row>
    <row r="179" spans="1:39">
      <c r="A179" s="2" t="s">
        <v>346</v>
      </c>
      <c r="B179" s="2" t="s">
        <v>351</v>
      </c>
      <c r="C179" s="15" t="s">
        <v>66</v>
      </c>
      <c r="D179" s="2" t="s">
        <v>62</v>
      </c>
      <c r="E179" s="2" t="s">
        <v>354</v>
      </c>
      <c r="F179" s="2">
        <v>172</v>
      </c>
      <c r="G179" s="2">
        <v>1451453</v>
      </c>
      <c r="H179" s="2">
        <v>787558.8</v>
      </c>
      <c r="I179" s="2">
        <v>2.5000000000000001E-2</v>
      </c>
      <c r="J179" s="2">
        <v>7.4999999999999997E-2</v>
      </c>
      <c r="K179" s="11">
        <v>0.03</v>
      </c>
      <c r="L179" s="2">
        <v>147301.4</v>
      </c>
      <c r="M179" s="2">
        <v>1480</v>
      </c>
      <c r="N179" s="3">
        <v>157</v>
      </c>
      <c r="O179" s="2">
        <v>1606</v>
      </c>
      <c r="P179" s="2">
        <v>95.033000000000001</v>
      </c>
      <c r="Q179" s="2">
        <v>50.753</v>
      </c>
      <c r="R179" s="2">
        <v>0.52954999999999997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>
        <v>0.21915000000000001</v>
      </c>
      <c r="AH179" s="2"/>
      <c r="AI179" s="2"/>
      <c r="AJ179" s="2"/>
      <c r="AK179" s="2">
        <v>0.16553999999999999</v>
      </c>
      <c r="AL179" s="2">
        <v>3094</v>
      </c>
      <c r="AM179" s="2">
        <v>2</v>
      </c>
    </row>
    <row r="180" spans="1:39">
      <c r="A180" t="s">
        <v>346</v>
      </c>
      <c r="B180" t="s">
        <v>355</v>
      </c>
      <c r="C180" s="16" t="s">
        <v>61</v>
      </c>
      <c r="D180" t="s">
        <v>154</v>
      </c>
      <c r="E180" s="2" t="s">
        <v>356</v>
      </c>
      <c r="F180">
        <v>162</v>
      </c>
      <c r="G180">
        <v>2136385</v>
      </c>
      <c r="H180">
        <v>1365013</v>
      </c>
      <c r="I180">
        <v>2.75E-2</v>
      </c>
      <c r="J180">
        <v>7.4999999999999997E-2</v>
      </c>
      <c r="K180" s="11">
        <v>0.03</v>
      </c>
      <c r="L180">
        <v>359359.50699999998</v>
      </c>
      <c r="M180">
        <v>7569</v>
      </c>
      <c r="O180">
        <v>4678</v>
      </c>
      <c r="P180">
        <v>46.232999999999997</v>
      </c>
      <c r="Q180">
        <v>25.844000000000001</v>
      </c>
      <c r="R180">
        <v>0.27050000000000002</v>
      </c>
      <c r="AG180">
        <v>0.2278</v>
      </c>
    </row>
    <row r="181" spans="1:39">
      <c r="A181" s="2" t="s">
        <v>346</v>
      </c>
      <c r="B181" s="2" t="s">
        <v>355</v>
      </c>
      <c r="C181" s="16" t="s">
        <v>64</v>
      </c>
      <c r="D181" s="2" t="s">
        <v>154</v>
      </c>
      <c r="E181" s="2" t="s">
        <v>357</v>
      </c>
      <c r="F181" s="2">
        <v>162</v>
      </c>
      <c r="G181" s="2">
        <v>2265653</v>
      </c>
      <c r="H181" s="2">
        <v>1417961</v>
      </c>
      <c r="I181" s="2">
        <v>2.75E-2</v>
      </c>
      <c r="J181" s="2">
        <v>7.4999999999999997E-2</v>
      </c>
      <c r="K181" s="11">
        <v>0.03</v>
      </c>
      <c r="L181" s="2">
        <v>364799.3</v>
      </c>
      <c r="M181" s="2">
        <v>7366</v>
      </c>
      <c r="N181" s="2">
        <v>14</v>
      </c>
      <c r="O181" s="2">
        <v>4980</v>
      </c>
      <c r="P181" s="2">
        <v>47.570999999999998</v>
      </c>
      <c r="Q181" s="2">
        <v>26.545999999999999</v>
      </c>
      <c r="R181" s="2">
        <v>0.27250000000000002</v>
      </c>
      <c r="AG181">
        <v>0.2266</v>
      </c>
    </row>
    <row r="182" spans="1:39">
      <c r="A182" s="2" t="s">
        <v>346</v>
      </c>
      <c r="B182" s="2" t="s">
        <v>355</v>
      </c>
      <c r="C182" s="15" t="s">
        <v>66</v>
      </c>
      <c r="D182" s="2" t="s">
        <v>154</v>
      </c>
      <c r="E182" s="2" t="s">
        <v>358</v>
      </c>
      <c r="F182" s="2">
        <v>162</v>
      </c>
      <c r="G182" s="2">
        <v>2192893</v>
      </c>
      <c r="H182" s="2">
        <v>1378824</v>
      </c>
      <c r="I182" s="2">
        <v>2.75E-2</v>
      </c>
      <c r="J182" s="2">
        <v>7.4999999999999997E-2</v>
      </c>
      <c r="K182" s="11">
        <v>0.03</v>
      </c>
      <c r="L182" s="2">
        <v>375598.3</v>
      </c>
      <c r="M182" s="2">
        <v>7177</v>
      </c>
      <c r="N182" s="3">
        <v>140</v>
      </c>
      <c r="O182" s="2">
        <v>4826</v>
      </c>
      <c r="P182" s="2">
        <v>47.3</v>
      </c>
      <c r="Q182" s="2">
        <v>26.109000000000002</v>
      </c>
      <c r="R182" s="2">
        <v>0.2697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>
        <v>0.22739999999999999</v>
      </c>
      <c r="AH182" s="2"/>
      <c r="AI182" s="2"/>
      <c r="AJ182" s="2"/>
      <c r="AK182" s="2">
        <v>9.7799999999999998E-2</v>
      </c>
      <c r="AL182" s="2">
        <v>13117</v>
      </c>
      <c r="AM182" s="2">
        <v>2</v>
      </c>
    </row>
    <row r="183" spans="1:39">
      <c r="A183" s="2" t="s">
        <v>359</v>
      </c>
      <c r="B183" s="2" t="s">
        <v>360</v>
      </c>
      <c r="C183" s="15" t="s">
        <v>66</v>
      </c>
      <c r="D183" s="2" t="s">
        <v>70</v>
      </c>
      <c r="E183" s="2" t="s">
        <v>361</v>
      </c>
      <c r="F183" s="2">
        <v>152</v>
      </c>
      <c r="G183" s="12">
        <v>11783085</v>
      </c>
      <c r="H183" s="12">
        <v>5852473</v>
      </c>
      <c r="I183" s="2">
        <v>3.3000000000000002E-2</v>
      </c>
      <c r="J183" s="2">
        <v>7.5499999999999998E-2</v>
      </c>
      <c r="K183" s="11">
        <v>0.03</v>
      </c>
      <c r="L183" s="12">
        <v>1842555</v>
      </c>
      <c r="M183" s="2">
        <v>28596</v>
      </c>
      <c r="N183" s="3">
        <v>1785</v>
      </c>
      <c r="O183" s="2">
        <v>36767</v>
      </c>
      <c r="P183" s="2">
        <v>64.433999999999997</v>
      </c>
      <c r="Q183" s="2">
        <v>22.309000000000001</v>
      </c>
      <c r="R183" s="2">
        <v>0.37459999999999999</v>
      </c>
      <c r="S183" s="2">
        <v>0.64710000000000001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>
        <v>0.1026</v>
      </c>
      <c r="AH183" s="2"/>
      <c r="AI183" s="2"/>
      <c r="AJ183" s="2"/>
      <c r="AK183" s="2">
        <v>4.41E-2</v>
      </c>
      <c r="AL183" s="2">
        <v>66328</v>
      </c>
      <c r="AM183" s="2">
        <v>2</v>
      </c>
    </row>
    <row r="184" spans="1:39">
      <c r="A184" s="2" t="s">
        <v>359</v>
      </c>
      <c r="B184" t="s">
        <v>360</v>
      </c>
      <c r="C184" s="16" t="s">
        <v>61</v>
      </c>
      <c r="D184" t="s">
        <v>70</v>
      </c>
      <c r="E184" s="2" t="s">
        <v>362</v>
      </c>
      <c r="F184">
        <v>152</v>
      </c>
      <c r="G184">
        <v>11152098</v>
      </c>
      <c r="H184">
        <v>5397433.6210000003</v>
      </c>
      <c r="I184">
        <v>3.3000000000000002E-2</v>
      </c>
      <c r="J184">
        <v>7.5999999999999998E-2</v>
      </c>
      <c r="K184" s="11">
        <v>0.03</v>
      </c>
      <c r="L184">
        <v>1802304</v>
      </c>
      <c r="M184">
        <v>28845</v>
      </c>
      <c r="O184">
        <v>36656</v>
      </c>
      <c r="P184">
        <v>62.59</v>
      </c>
      <c r="Q184">
        <v>21.951000000000001</v>
      </c>
      <c r="R184">
        <v>0.37780000000000002</v>
      </c>
      <c r="S184" s="2">
        <v>0.64710000000000001</v>
      </c>
      <c r="AG184">
        <v>0.1009</v>
      </c>
    </row>
    <row r="185" spans="1:39">
      <c r="A185" s="2" t="s">
        <v>359</v>
      </c>
      <c r="B185" s="2" t="s">
        <v>360</v>
      </c>
      <c r="C185" s="16" t="s">
        <v>64</v>
      </c>
      <c r="D185" s="2" t="s">
        <v>70</v>
      </c>
      <c r="E185" s="2" t="s">
        <v>363</v>
      </c>
      <c r="F185" s="2">
        <v>152</v>
      </c>
      <c r="G185" s="2">
        <v>12038051</v>
      </c>
      <c r="H185" s="2">
        <v>6242696</v>
      </c>
      <c r="I185" s="2">
        <v>3.3000000000000002E-2</v>
      </c>
      <c r="J185" s="2">
        <v>7.5499999999999998E-2</v>
      </c>
      <c r="K185" s="11">
        <v>0.03</v>
      </c>
      <c r="L185" s="2">
        <v>1921217</v>
      </c>
      <c r="M185" s="2">
        <v>28892</v>
      </c>
      <c r="N185" s="2">
        <v>1872</v>
      </c>
      <c r="O185" s="2">
        <v>36195</v>
      </c>
      <c r="P185" s="2">
        <v>66.497</v>
      </c>
      <c r="Q185" s="2">
        <v>22.835000000000001</v>
      </c>
      <c r="R185" s="2">
        <v>0.36649999999999999</v>
      </c>
      <c r="S185" s="2">
        <v>0.64710000000000001</v>
      </c>
      <c r="AG185">
        <v>0.1023</v>
      </c>
    </row>
    <row r="186" spans="1:39">
      <c r="A186" t="s">
        <v>364</v>
      </c>
      <c r="B186" t="s">
        <v>365</v>
      </c>
      <c r="C186" s="16" t="s">
        <v>61</v>
      </c>
      <c r="D186" t="s">
        <v>70</v>
      </c>
      <c r="E186" s="2" t="s">
        <v>366</v>
      </c>
      <c r="F186">
        <v>94</v>
      </c>
      <c r="G186">
        <v>4226045.8109999998</v>
      </c>
      <c r="H186">
        <v>2562847.0079999999</v>
      </c>
      <c r="I186">
        <v>2.5000000000000001E-2</v>
      </c>
      <c r="J186">
        <v>7.2499999999999995E-2</v>
      </c>
      <c r="K186" s="11">
        <v>0.03</v>
      </c>
      <c r="L186">
        <v>527160.82400000002</v>
      </c>
      <c r="M186">
        <v>7977</v>
      </c>
      <c r="O186">
        <v>7138</v>
      </c>
      <c r="P186">
        <v>66.084999999999994</v>
      </c>
      <c r="Q186">
        <v>31.920999999999999</v>
      </c>
      <c r="R186">
        <v>0.33510000000000001</v>
      </c>
      <c r="S186">
        <v>0.56999999999999995</v>
      </c>
      <c r="AG186">
        <v>0.14560000000000001</v>
      </c>
    </row>
    <row r="187" spans="1:39">
      <c r="A187" s="2" t="s">
        <v>364</v>
      </c>
      <c r="B187" s="2" t="s">
        <v>365</v>
      </c>
      <c r="C187" s="16" t="s">
        <v>64</v>
      </c>
      <c r="D187" s="2" t="s">
        <v>70</v>
      </c>
      <c r="E187" s="2" t="s">
        <v>367</v>
      </c>
      <c r="F187" s="2">
        <v>94</v>
      </c>
      <c r="G187" s="2">
        <v>4414114</v>
      </c>
      <c r="H187" s="2">
        <v>2811163</v>
      </c>
      <c r="I187" s="2">
        <v>2.3E-2</v>
      </c>
      <c r="J187" s="11">
        <v>7.0000000000000007E-2</v>
      </c>
      <c r="K187" s="11">
        <v>0.03</v>
      </c>
      <c r="L187" s="2">
        <v>568646</v>
      </c>
      <c r="M187" s="2">
        <v>8027</v>
      </c>
      <c r="N187" s="2">
        <v>929</v>
      </c>
      <c r="O187" s="2">
        <v>7502</v>
      </c>
      <c r="P187" s="2">
        <v>70.841999999999999</v>
      </c>
      <c r="Q187" s="2">
        <v>32.302999999999997</v>
      </c>
      <c r="R187" s="2">
        <v>0.32600000000000001</v>
      </c>
      <c r="S187">
        <v>0.56999999999999995</v>
      </c>
      <c r="AG187">
        <v>0.1384</v>
      </c>
    </row>
    <row r="188" spans="1:39">
      <c r="A188" s="2" t="s">
        <v>364</v>
      </c>
      <c r="B188" s="2" t="s">
        <v>365</v>
      </c>
      <c r="C188" s="15" t="s">
        <v>66</v>
      </c>
      <c r="D188" s="2" t="s">
        <v>70</v>
      </c>
      <c r="E188" s="2" t="s">
        <v>368</v>
      </c>
      <c r="F188" s="2">
        <v>94</v>
      </c>
      <c r="G188" s="2">
        <v>4401825</v>
      </c>
      <c r="H188" s="2">
        <v>2677353</v>
      </c>
      <c r="I188" s="2">
        <v>2.5000000000000001E-2</v>
      </c>
      <c r="J188" s="2">
        <v>7.2499999999999995E-2</v>
      </c>
      <c r="K188" s="11">
        <v>0.03</v>
      </c>
      <c r="L188" s="2">
        <v>562989</v>
      </c>
      <c r="M188" s="2">
        <v>7941</v>
      </c>
      <c r="N188" s="3">
        <v>965</v>
      </c>
      <c r="O188" s="2">
        <v>7368</v>
      </c>
      <c r="P188" s="2">
        <v>70.896000000000001</v>
      </c>
      <c r="Q188" s="2">
        <v>32.122</v>
      </c>
      <c r="R188" s="2">
        <v>0.3362</v>
      </c>
      <c r="S188">
        <v>0.56999999999999995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>
        <v>0.1444</v>
      </c>
      <c r="AH188" s="2"/>
      <c r="AI188" s="2"/>
      <c r="AJ188" s="2"/>
      <c r="AK188" s="2">
        <v>0.05</v>
      </c>
      <c r="AL188" s="2">
        <v>16317</v>
      </c>
      <c r="AM188" s="2">
        <v>2</v>
      </c>
    </row>
    <row r="189" spans="1:39">
      <c r="A189" t="s">
        <v>369</v>
      </c>
      <c r="B189" s="2" t="s">
        <v>370</v>
      </c>
      <c r="C189" s="16" t="s">
        <v>61</v>
      </c>
      <c r="D189" t="s">
        <v>75</v>
      </c>
      <c r="E189" t="s">
        <v>317</v>
      </c>
      <c r="F189" s="2">
        <v>75</v>
      </c>
      <c r="G189" s="2">
        <v>445271.1</v>
      </c>
      <c r="H189" s="2">
        <v>241394</v>
      </c>
      <c r="I189" s="11"/>
      <c r="J189" s="4"/>
      <c r="K189" s="11">
        <v>0.03</v>
      </c>
      <c r="L189" s="2">
        <v>204883.1</v>
      </c>
      <c r="M189" s="2">
        <v>670</v>
      </c>
      <c r="N189" s="11"/>
      <c r="O189" s="2">
        <v>1099</v>
      </c>
      <c r="P189" s="11"/>
      <c r="Q189" s="11"/>
      <c r="R189" s="2">
        <v>0.75724499999999995</v>
      </c>
      <c r="AG189" s="2">
        <v>0.15705</v>
      </c>
    </row>
    <row r="190" spans="1:39">
      <c r="A190" s="2" t="s">
        <v>369</v>
      </c>
      <c r="B190" t="s">
        <v>371</v>
      </c>
      <c r="C190" s="16" t="s">
        <v>61</v>
      </c>
      <c r="D190" t="s">
        <v>70</v>
      </c>
      <c r="E190" s="2" t="s">
        <v>372</v>
      </c>
      <c r="F190">
        <v>196</v>
      </c>
      <c r="G190">
        <v>388411.89399999997</v>
      </c>
      <c r="H190">
        <v>240346.84</v>
      </c>
      <c r="I190">
        <v>2.75E-2</v>
      </c>
      <c r="J190">
        <v>7.2499999999999995E-2</v>
      </c>
      <c r="K190" s="11">
        <v>0.03</v>
      </c>
      <c r="L190">
        <v>83458.398000000001</v>
      </c>
      <c r="M190">
        <v>1767</v>
      </c>
      <c r="O190">
        <v>1691</v>
      </c>
      <c r="P190">
        <v>47.231999999999999</v>
      </c>
      <c r="Q190">
        <v>16.172999999999998</v>
      </c>
      <c r="R190">
        <v>0.18037</v>
      </c>
      <c r="AG190">
        <v>0.12692999999999999</v>
      </c>
    </row>
    <row r="191" spans="1:39">
      <c r="A191" s="2" t="s">
        <v>369</v>
      </c>
      <c r="B191" s="2" t="s">
        <v>371</v>
      </c>
      <c r="C191" s="16" t="s">
        <v>64</v>
      </c>
      <c r="D191" s="2" t="s">
        <v>70</v>
      </c>
      <c r="E191" s="2" t="s">
        <v>373</v>
      </c>
      <c r="F191" s="2">
        <v>196</v>
      </c>
      <c r="G191" s="11"/>
      <c r="H191" s="11"/>
      <c r="I191" s="11">
        <v>2.5000000000000001E-2</v>
      </c>
      <c r="J191" s="11">
        <v>7.0000000000000007E-2</v>
      </c>
      <c r="K191" s="11">
        <v>0.03</v>
      </c>
      <c r="L191" s="11"/>
      <c r="M191" s="11"/>
      <c r="N191" s="2">
        <v>1033</v>
      </c>
      <c r="O191" s="11"/>
      <c r="P191" s="11"/>
      <c r="Q191" s="11"/>
      <c r="R191" s="11"/>
    </row>
    <row r="192" spans="1:39">
      <c r="A192" s="2" t="s">
        <v>369</v>
      </c>
      <c r="B192" s="2" t="s">
        <v>371</v>
      </c>
      <c r="C192" s="15" t="s">
        <v>66</v>
      </c>
      <c r="D192" s="2" t="s">
        <v>70</v>
      </c>
      <c r="E192" s="2" t="s">
        <v>374</v>
      </c>
      <c r="F192" s="2">
        <v>196</v>
      </c>
      <c r="G192" s="11"/>
      <c r="H192" s="11"/>
      <c r="I192" s="11">
        <v>2.5000000000000001E-2</v>
      </c>
      <c r="J192" s="11">
        <v>7.0000000000000007E-2</v>
      </c>
      <c r="K192" s="11">
        <v>0.03</v>
      </c>
      <c r="L192" s="11"/>
      <c r="M192" s="11"/>
      <c r="N192" s="3">
        <v>0</v>
      </c>
      <c r="O192" s="11"/>
      <c r="P192" s="11"/>
      <c r="Q192" s="11"/>
      <c r="R192" s="11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H192" s="2"/>
      <c r="AI192" s="2"/>
      <c r="AJ192" s="2"/>
      <c r="AK192" s="2">
        <v>0</v>
      </c>
      <c r="AL192" s="2"/>
      <c r="AM192" s="2">
        <v>2</v>
      </c>
    </row>
    <row r="193" spans="1:39">
      <c r="A193" s="2" t="s">
        <v>369</v>
      </c>
      <c r="B193" t="s">
        <v>375</v>
      </c>
      <c r="C193" s="16" t="s">
        <v>61</v>
      </c>
      <c r="D193" s="2" t="s">
        <v>80</v>
      </c>
      <c r="E193" s="2" t="s">
        <v>376</v>
      </c>
      <c r="F193">
        <v>183</v>
      </c>
      <c r="G193">
        <v>482008.62400000001</v>
      </c>
      <c r="H193">
        <v>265925.50300000003</v>
      </c>
      <c r="I193">
        <v>2.75E-2</v>
      </c>
      <c r="K193" s="11">
        <v>0.03</v>
      </c>
      <c r="L193">
        <v>62499</v>
      </c>
      <c r="M193">
        <v>955</v>
      </c>
      <c r="O193">
        <v>1466</v>
      </c>
      <c r="P193">
        <v>62.499000000000002</v>
      </c>
      <c r="Q193">
        <v>23.567</v>
      </c>
      <c r="R193">
        <v>0.22389999999999999</v>
      </c>
      <c r="AG193">
        <v>0.18074999999999999</v>
      </c>
    </row>
    <row r="194" spans="1:39">
      <c r="A194" s="2" t="s">
        <v>369</v>
      </c>
      <c r="B194" s="2" t="s">
        <v>375</v>
      </c>
      <c r="C194" s="16" t="s">
        <v>64</v>
      </c>
      <c r="D194" s="2" t="s">
        <v>80</v>
      </c>
      <c r="E194" s="2" t="s">
        <v>377</v>
      </c>
      <c r="F194" s="2">
        <v>183</v>
      </c>
      <c r="G194" s="11"/>
      <c r="H194" s="11"/>
      <c r="I194" s="2">
        <v>2.75E-2</v>
      </c>
      <c r="J194" s="11">
        <v>7.0000000000000007E-2</v>
      </c>
      <c r="K194" s="11">
        <v>0.03</v>
      </c>
      <c r="L194" s="11"/>
      <c r="M194" s="11"/>
      <c r="N194" s="2">
        <v>0</v>
      </c>
      <c r="O194" s="11"/>
      <c r="P194" s="11"/>
      <c r="Q194" s="11"/>
      <c r="R194" s="11"/>
    </row>
    <row r="195" spans="1:39">
      <c r="A195" s="2" t="s">
        <v>369</v>
      </c>
      <c r="B195" s="2" t="s">
        <v>375</v>
      </c>
      <c r="C195" s="15" t="s">
        <v>66</v>
      </c>
      <c r="D195" s="2" t="s">
        <v>80</v>
      </c>
      <c r="E195" s="2" t="s">
        <v>378</v>
      </c>
      <c r="F195" s="2">
        <v>183</v>
      </c>
      <c r="G195" s="11"/>
      <c r="H195" s="11"/>
      <c r="I195" s="11">
        <v>2.5000000000000001E-2</v>
      </c>
      <c r="J195" s="11">
        <v>7.0000000000000007E-2</v>
      </c>
      <c r="K195" s="11">
        <v>0.03</v>
      </c>
      <c r="L195" s="11"/>
      <c r="M195" s="11"/>
      <c r="N195" s="3">
        <v>1008</v>
      </c>
      <c r="O195" s="11"/>
      <c r="P195" s="11"/>
      <c r="Q195" s="11"/>
      <c r="R195" s="11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H195" s="2"/>
      <c r="AI195" s="2"/>
      <c r="AJ195" s="2"/>
      <c r="AK195" s="2">
        <v>0</v>
      </c>
      <c r="AL195" s="2"/>
      <c r="AM195" s="2">
        <v>2</v>
      </c>
    </row>
    <row r="196" spans="1:39">
      <c r="A196" t="s">
        <v>379</v>
      </c>
      <c r="B196" t="s">
        <v>380</v>
      </c>
      <c r="C196" s="16" t="s">
        <v>61</v>
      </c>
      <c r="D196" t="s">
        <v>70</v>
      </c>
      <c r="E196" s="2" t="s">
        <v>381</v>
      </c>
      <c r="F196">
        <v>169</v>
      </c>
      <c r="G196">
        <v>1378187.3640000001</v>
      </c>
      <c r="H196">
        <v>367599.364</v>
      </c>
      <c r="I196">
        <v>3.5000000000000003E-2</v>
      </c>
      <c r="J196">
        <v>0.08</v>
      </c>
      <c r="K196" s="11">
        <v>0.03</v>
      </c>
      <c r="L196">
        <v>149921.633</v>
      </c>
      <c r="M196">
        <v>2993</v>
      </c>
      <c r="O196">
        <v>3220</v>
      </c>
      <c r="P196">
        <v>50.091000000000001</v>
      </c>
      <c r="Q196">
        <v>29.35</v>
      </c>
      <c r="R196">
        <v>0.47786000000000001</v>
      </c>
      <c r="AG196">
        <v>0.13109999999999999</v>
      </c>
    </row>
    <row r="197" spans="1:39">
      <c r="A197" s="2" t="s">
        <v>379</v>
      </c>
      <c r="B197" s="2" t="s">
        <v>380</v>
      </c>
      <c r="C197" s="16" t="s">
        <v>64</v>
      </c>
      <c r="D197" s="2" t="s">
        <v>70</v>
      </c>
      <c r="E197" s="2" t="s">
        <v>382</v>
      </c>
      <c r="F197" s="2">
        <v>169</v>
      </c>
      <c r="G197" s="2">
        <v>1593646</v>
      </c>
      <c r="H197" s="2">
        <v>380468.5</v>
      </c>
      <c r="I197" s="2">
        <v>0.03</v>
      </c>
      <c r="J197" s="2">
        <v>7.0000000000000007E-2</v>
      </c>
      <c r="K197" s="11">
        <v>0.03</v>
      </c>
      <c r="L197" s="2">
        <v>159505</v>
      </c>
      <c r="M197" s="2">
        <v>3017</v>
      </c>
      <c r="N197" s="2">
        <v>0</v>
      </c>
      <c r="O197" s="2">
        <v>3255</v>
      </c>
      <c r="P197" s="2">
        <v>51.308999999999997</v>
      </c>
      <c r="Q197" s="2">
        <v>29.344000000000001</v>
      </c>
      <c r="R197" s="2">
        <v>0.48768</v>
      </c>
      <c r="AG197">
        <v>0.15060000000000001</v>
      </c>
    </row>
    <row r="198" spans="1:39">
      <c r="A198" s="2" t="s">
        <v>379</v>
      </c>
      <c r="B198" s="2" t="s">
        <v>380</v>
      </c>
      <c r="C198" s="15" t="s">
        <v>66</v>
      </c>
      <c r="D198" s="2" t="s">
        <v>70</v>
      </c>
      <c r="E198" s="2" t="s">
        <v>383</v>
      </c>
      <c r="F198" s="2">
        <v>169</v>
      </c>
      <c r="G198" s="2">
        <v>1593646</v>
      </c>
      <c r="H198" s="2">
        <v>380468.5</v>
      </c>
      <c r="I198" s="2">
        <v>0.03</v>
      </c>
      <c r="J198" s="2">
        <v>0.08</v>
      </c>
      <c r="K198" s="11">
        <v>0.03</v>
      </c>
      <c r="L198" s="2">
        <v>154798.79999999999</v>
      </c>
      <c r="M198" s="2">
        <v>3017</v>
      </c>
      <c r="N198" s="3">
        <v>0</v>
      </c>
      <c r="O198" s="2">
        <v>3255</v>
      </c>
      <c r="P198" s="2">
        <v>51.308999999999997</v>
      </c>
      <c r="Q198" s="2">
        <v>29.344000000000001</v>
      </c>
      <c r="R198" s="2">
        <v>0.48768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>
        <v>0.15060000000000001</v>
      </c>
      <c r="AH198" s="2"/>
      <c r="AI198" s="2"/>
      <c r="AJ198" s="2"/>
      <c r="AK198" s="2">
        <v>7.9600000000000004E-2</v>
      </c>
      <c r="AL198" s="2">
        <v>6772</v>
      </c>
      <c r="AM198" s="2">
        <v>2</v>
      </c>
    </row>
    <row r="199" spans="1:39">
      <c r="A199" t="s">
        <v>384</v>
      </c>
      <c r="B199" s="2" t="s">
        <v>385</v>
      </c>
      <c r="C199" s="16" t="s">
        <v>61</v>
      </c>
      <c r="D199" t="s">
        <v>62</v>
      </c>
      <c r="E199" t="s">
        <v>386</v>
      </c>
      <c r="F199" s="2" t="s">
        <v>387</v>
      </c>
      <c r="G199" s="2">
        <v>3749251</v>
      </c>
      <c r="H199" s="2">
        <v>3297011</v>
      </c>
      <c r="I199" s="2">
        <v>0.03</v>
      </c>
      <c r="J199" s="4"/>
      <c r="K199" s="11">
        <v>0.03</v>
      </c>
      <c r="L199" s="2">
        <v>335065.90000000002</v>
      </c>
      <c r="M199" s="2">
        <v>4042</v>
      </c>
      <c r="N199" s="2">
        <v>1</v>
      </c>
      <c r="O199" s="2">
        <v>2779</v>
      </c>
      <c r="P199" s="2">
        <v>41.9</v>
      </c>
      <c r="Q199" s="2">
        <v>68.099999999999994</v>
      </c>
      <c r="R199" s="2">
        <v>0.23372200000000001</v>
      </c>
      <c r="AG199" s="2">
        <v>0.2442</v>
      </c>
    </row>
    <row r="200" spans="1:39">
      <c r="A200" s="2" t="s">
        <v>388</v>
      </c>
      <c r="B200" s="2" t="s">
        <v>389</v>
      </c>
      <c r="C200" s="15" t="s">
        <v>66</v>
      </c>
      <c r="D200" s="2" t="s">
        <v>70</v>
      </c>
      <c r="E200" s="2" t="s">
        <v>390</v>
      </c>
      <c r="F200" s="2">
        <v>144</v>
      </c>
      <c r="G200" s="2">
        <v>10602166</v>
      </c>
      <c r="H200" s="2">
        <v>7595073</v>
      </c>
      <c r="I200" s="2">
        <v>3.0499999999999999E-2</v>
      </c>
      <c r="J200" s="2">
        <v>6.5000000000000002E-2</v>
      </c>
      <c r="K200" s="11">
        <v>0.03</v>
      </c>
      <c r="L200" s="2">
        <v>484764.5</v>
      </c>
      <c r="M200" s="2">
        <v>5757</v>
      </c>
      <c r="N200" s="3">
        <v>500</v>
      </c>
      <c r="O200" s="2">
        <v>10205</v>
      </c>
      <c r="P200" s="2">
        <v>84.203999999999994</v>
      </c>
      <c r="Q200" s="2">
        <v>50.119</v>
      </c>
      <c r="R200" s="2">
        <v>0.8054</v>
      </c>
      <c r="S200" s="2">
        <v>0.66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>
        <v>0.2762</v>
      </c>
      <c r="AH200" s="2"/>
      <c r="AI200" s="2"/>
      <c r="AJ200" s="2"/>
      <c r="AK200" s="2">
        <v>0.1348</v>
      </c>
      <c r="AL200" s="2">
        <v>16710</v>
      </c>
      <c r="AM200" s="2">
        <v>2</v>
      </c>
    </row>
    <row r="201" spans="1:39">
      <c r="A201" s="2" t="s">
        <v>388</v>
      </c>
      <c r="B201" t="s">
        <v>389</v>
      </c>
      <c r="C201" s="16" t="s">
        <v>61</v>
      </c>
      <c r="D201" t="s">
        <v>70</v>
      </c>
      <c r="E201" s="2" t="s">
        <v>391</v>
      </c>
      <c r="F201">
        <v>144</v>
      </c>
      <c r="G201">
        <v>10192808.460999999</v>
      </c>
      <c r="H201">
        <v>7214925.0109999999</v>
      </c>
      <c r="I201">
        <v>3.0499999999999999E-2</v>
      </c>
      <c r="J201">
        <v>6.5000000000000002E-2</v>
      </c>
      <c r="K201" s="11">
        <v>0.03</v>
      </c>
      <c r="L201">
        <v>455753.4</v>
      </c>
      <c r="M201">
        <v>5967</v>
      </c>
      <c r="O201">
        <v>10024</v>
      </c>
      <c r="P201">
        <v>76.379000000000005</v>
      </c>
      <c r="Q201">
        <v>49.262</v>
      </c>
      <c r="R201">
        <v>0.79420000000000002</v>
      </c>
      <c r="S201" s="2">
        <v>0.66</v>
      </c>
      <c r="AG201">
        <v>0.27400000000000002</v>
      </c>
    </row>
    <row r="202" spans="1:39">
      <c r="A202" s="2" t="s">
        <v>388</v>
      </c>
      <c r="B202" s="2" t="s">
        <v>389</v>
      </c>
      <c r="C202" s="16" t="s">
        <v>64</v>
      </c>
      <c r="D202" s="2" t="s">
        <v>70</v>
      </c>
      <c r="E202" s="2" t="s">
        <v>392</v>
      </c>
      <c r="F202" s="2">
        <v>144</v>
      </c>
      <c r="G202" s="2">
        <v>11206326</v>
      </c>
      <c r="H202" s="2">
        <v>7870672</v>
      </c>
      <c r="I202" s="2">
        <v>3.0499999999999999E-2</v>
      </c>
      <c r="J202" s="2">
        <v>6.5000000000000002E-2</v>
      </c>
      <c r="K202" s="11">
        <v>0.03</v>
      </c>
      <c r="L202" s="2">
        <v>501203.7</v>
      </c>
      <c r="M202" s="2">
        <v>5535</v>
      </c>
      <c r="N202" s="2">
        <v>500</v>
      </c>
      <c r="O202" s="2">
        <v>10409</v>
      </c>
      <c r="P202" s="2">
        <v>90.552000000000007</v>
      </c>
      <c r="Q202" s="2">
        <v>51.09</v>
      </c>
      <c r="R202" s="2">
        <v>0.87980000000000003</v>
      </c>
      <c r="S202" s="2">
        <v>0.66</v>
      </c>
      <c r="AG202">
        <v>0.30819999999999997</v>
      </c>
    </row>
    <row r="203" spans="1:39">
      <c r="A203" s="2" t="s">
        <v>393</v>
      </c>
      <c r="B203" s="2" t="s">
        <v>394</v>
      </c>
      <c r="C203" s="15" t="s">
        <v>66</v>
      </c>
      <c r="D203" s="2" t="s">
        <v>70</v>
      </c>
      <c r="E203" s="2" t="s">
        <v>395</v>
      </c>
      <c r="F203" s="2">
        <v>98</v>
      </c>
      <c r="G203" s="2">
        <v>28798581</v>
      </c>
      <c r="H203" s="2">
        <v>25247549</v>
      </c>
      <c r="I203" s="2">
        <v>2.75E-2</v>
      </c>
      <c r="J203" s="2">
        <v>7.3999999999999996E-2</v>
      </c>
      <c r="K203" s="11">
        <v>0.03</v>
      </c>
      <c r="L203" s="2">
        <v>3549936</v>
      </c>
      <c r="M203" s="2">
        <v>34202</v>
      </c>
      <c r="N203" s="3">
        <v>2905</v>
      </c>
      <c r="O203" s="2">
        <v>30778</v>
      </c>
      <c r="P203" s="2">
        <v>98.787000000000006</v>
      </c>
      <c r="Q203" s="2">
        <v>49.173000000000002</v>
      </c>
      <c r="R203" s="2">
        <v>0.26900000000000002</v>
      </c>
      <c r="S203" s="2">
        <v>0.56010000000000004</v>
      </c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>
        <v>0.1772</v>
      </c>
      <c r="AH203" s="2"/>
      <c r="AI203" s="2"/>
      <c r="AJ203" s="2"/>
      <c r="AK203" s="2">
        <v>7.6100000000000001E-2</v>
      </c>
      <c r="AL203" s="2">
        <v>74935</v>
      </c>
      <c r="AM203" s="2">
        <v>2</v>
      </c>
    </row>
    <row r="204" spans="1:39">
      <c r="A204" t="s">
        <v>393</v>
      </c>
      <c r="B204" t="s">
        <v>394</v>
      </c>
      <c r="C204" s="16" t="s">
        <v>61</v>
      </c>
      <c r="D204" t="s">
        <v>70</v>
      </c>
      <c r="E204" s="2" t="s">
        <v>396</v>
      </c>
      <c r="F204">
        <v>98</v>
      </c>
      <c r="G204">
        <v>27335417</v>
      </c>
      <c r="H204">
        <v>23866027</v>
      </c>
      <c r="I204">
        <v>0.03</v>
      </c>
      <c r="J204">
        <v>7.3999999999999996E-2</v>
      </c>
      <c r="K204" s="11">
        <v>0.03</v>
      </c>
      <c r="L204">
        <v>3385517</v>
      </c>
      <c r="M204">
        <v>33946</v>
      </c>
      <c r="O204">
        <v>29965</v>
      </c>
      <c r="P204">
        <v>95.326999999999998</v>
      </c>
      <c r="Q204">
        <v>47.533000000000001</v>
      </c>
      <c r="R204">
        <v>0.25190000000000001</v>
      </c>
      <c r="S204" s="2">
        <v>0.56010000000000004</v>
      </c>
      <c r="AG204">
        <v>0.17710000000000001</v>
      </c>
    </row>
    <row r="205" spans="1:39">
      <c r="A205" s="2" t="s">
        <v>393</v>
      </c>
      <c r="B205" s="2" t="s">
        <v>394</v>
      </c>
      <c r="C205" s="16" t="s">
        <v>64</v>
      </c>
      <c r="D205" s="2" t="s">
        <v>70</v>
      </c>
      <c r="E205" s="2" t="s">
        <v>397</v>
      </c>
      <c r="F205" s="2">
        <v>98</v>
      </c>
      <c r="G205" s="2">
        <v>29499918</v>
      </c>
      <c r="H205" s="2">
        <v>26695845</v>
      </c>
      <c r="I205" s="2">
        <v>2.5000000000000001E-2</v>
      </c>
      <c r="J205" s="2">
        <v>7.3999999999999996E-2</v>
      </c>
      <c r="K205" s="11">
        <v>0.03</v>
      </c>
      <c r="L205" s="2">
        <v>3703103</v>
      </c>
      <c r="M205" s="2">
        <v>34521</v>
      </c>
      <c r="N205" s="2">
        <v>2898</v>
      </c>
      <c r="O205" s="2">
        <v>30128</v>
      </c>
      <c r="P205" s="2">
        <v>103.8</v>
      </c>
      <c r="Q205" s="2">
        <v>52.707999999999998</v>
      </c>
      <c r="R205" s="2">
        <v>0.24410000000000001</v>
      </c>
      <c r="S205" s="2">
        <v>0.56010000000000004</v>
      </c>
      <c r="AG205">
        <v>0.1729</v>
      </c>
    </row>
    <row r="206" spans="1:39">
      <c r="A206" t="s">
        <v>398</v>
      </c>
      <c r="B206" s="2" t="s">
        <v>399</v>
      </c>
      <c r="C206" s="16" t="s">
        <v>61</v>
      </c>
      <c r="D206" t="s">
        <v>62</v>
      </c>
      <c r="E206" t="s">
        <v>400</v>
      </c>
      <c r="F206" s="2">
        <v>56</v>
      </c>
      <c r="G206" s="2">
        <v>4696428</v>
      </c>
      <c r="H206" s="2">
        <v>3596590</v>
      </c>
      <c r="I206" s="2">
        <v>2.75E-2</v>
      </c>
      <c r="J206" s="4"/>
      <c r="K206" s="11">
        <v>0.03</v>
      </c>
      <c r="L206" s="2">
        <v>218429</v>
      </c>
      <c r="M206" s="2">
        <v>1638</v>
      </c>
      <c r="N206" s="2">
        <v>324</v>
      </c>
      <c r="O206" s="2">
        <v>2250</v>
      </c>
      <c r="P206" s="2">
        <v>42</v>
      </c>
      <c r="Q206" s="2">
        <v>66.599999999999994</v>
      </c>
      <c r="R206" s="2">
        <v>0.43874999999999997</v>
      </c>
      <c r="AG206" s="2">
        <v>0.253025</v>
      </c>
    </row>
    <row r="207" spans="1:39">
      <c r="A207" s="2" t="s">
        <v>401</v>
      </c>
      <c r="B207" s="2" t="s">
        <v>402</v>
      </c>
      <c r="C207" s="15" t="s">
        <v>66</v>
      </c>
      <c r="D207" s="2" t="s">
        <v>70</v>
      </c>
      <c r="E207" s="2" t="s">
        <v>403</v>
      </c>
      <c r="F207" s="2">
        <v>156</v>
      </c>
      <c r="G207" s="2">
        <v>4411100</v>
      </c>
      <c r="H207" s="2">
        <v>3040700</v>
      </c>
      <c r="I207" s="2">
        <v>2.75E-2</v>
      </c>
      <c r="J207" s="2">
        <v>7.2499999999999995E-2</v>
      </c>
      <c r="K207" s="11">
        <v>0.03</v>
      </c>
      <c r="L207" s="2">
        <v>785600</v>
      </c>
      <c r="M207" s="2">
        <v>9440</v>
      </c>
      <c r="N207" s="3">
        <v>9955</v>
      </c>
      <c r="O207" s="2">
        <v>7029</v>
      </c>
      <c r="P207" s="2">
        <v>86.832999999999998</v>
      </c>
      <c r="Q207" s="2">
        <v>30.472999999999999</v>
      </c>
      <c r="R207" s="2">
        <v>0.161</v>
      </c>
      <c r="S207" s="2">
        <v>0.64</v>
      </c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>
        <v>0.1525</v>
      </c>
      <c r="AH207" s="2"/>
      <c r="AI207" s="2"/>
      <c r="AJ207" s="2"/>
      <c r="AK207" s="2">
        <v>9.4600000000000004E-2</v>
      </c>
      <c r="AL207" s="2">
        <v>19281</v>
      </c>
      <c r="AM207" s="2">
        <v>2</v>
      </c>
    </row>
    <row r="208" spans="1:39">
      <c r="A208" s="2" t="s">
        <v>401</v>
      </c>
      <c r="B208" t="s">
        <v>402</v>
      </c>
      <c r="C208" s="16" t="s">
        <v>61</v>
      </c>
      <c r="D208" t="s">
        <v>70</v>
      </c>
      <c r="E208" s="2" t="s">
        <v>404</v>
      </c>
      <c r="F208">
        <v>156</v>
      </c>
      <c r="G208">
        <v>4216700</v>
      </c>
      <c r="H208">
        <v>2877400</v>
      </c>
      <c r="I208">
        <v>2.75E-2</v>
      </c>
      <c r="K208" s="11">
        <v>0.03</v>
      </c>
      <c r="L208">
        <v>779100</v>
      </c>
      <c r="M208">
        <v>9388</v>
      </c>
      <c r="O208">
        <v>6792</v>
      </c>
      <c r="P208">
        <v>82.831000000000003</v>
      </c>
      <c r="Q208">
        <v>29.042000000000002</v>
      </c>
      <c r="R208">
        <v>0.16139999999999999</v>
      </c>
      <c r="S208" s="2">
        <v>0.64</v>
      </c>
      <c r="AG208">
        <v>0.1542</v>
      </c>
    </row>
    <row r="209" spans="1:39">
      <c r="A209" s="2" t="s">
        <v>401</v>
      </c>
      <c r="B209" s="2" t="s">
        <v>402</v>
      </c>
      <c r="C209" s="16" t="s">
        <v>64</v>
      </c>
      <c r="D209" s="2" t="s">
        <v>70</v>
      </c>
      <c r="E209" s="2" t="s">
        <v>405</v>
      </c>
      <c r="F209" s="2">
        <v>156</v>
      </c>
      <c r="G209" s="2">
        <v>4673100</v>
      </c>
      <c r="H209" s="2">
        <v>3345800</v>
      </c>
      <c r="I209" s="2">
        <v>2.75E-2</v>
      </c>
      <c r="J209" s="2">
        <v>7.2499999999999995E-2</v>
      </c>
      <c r="K209" s="11">
        <v>0.03</v>
      </c>
      <c r="L209" s="2">
        <v>876900</v>
      </c>
      <c r="M209" s="2">
        <v>9287</v>
      </c>
      <c r="N209" s="2">
        <v>10549</v>
      </c>
      <c r="O209" s="2">
        <v>7123</v>
      </c>
      <c r="P209" s="2">
        <v>94.561999999999998</v>
      </c>
      <c r="Q209" s="2">
        <v>31.257999999999999</v>
      </c>
      <c r="R209" s="2">
        <v>0.15329999999999999</v>
      </c>
      <c r="S209" s="2">
        <v>0.64</v>
      </c>
      <c r="AG209">
        <v>0.151</v>
      </c>
    </row>
    <row r="210" spans="1:39">
      <c r="A210" t="s">
        <v>406</v>
      </c>
      <c r="B210" s="2" t="s">
        <v>407</v>
      </c>
      <c r="C210" s="16" t="s">
        <v>61</v>
      </c>
      <c r="D210" t="s">
        <v>75</v>
      </c>
      <c r="E210" t="s">
        <v>408</v>
      </c>
      <c r="F210" s="2">
        <v>57</v>
      </c>
      <c r="G210" s="2">
        <v>174209.2</v>
      </c>
      <c r="H210" s="2">
        <v>171591.2</v>
      </c>
      <c r="I210" s="2">
        <v>2.75E-2</v>
      </c>
      <c r="J210" s="4"/>
      <c r="K210" s="11">
        <v>0.03</v>
      </c>
      <c r="L210" s="2">
        <v>11710.12</v>
      </c>
      <c r="M210" s="2">
        <v>146</v>
      </c>
      <c r="N210" s="2">
        <v>4</v>
      </c>
      <c r="O210" s="2">
        <v>168</v>
      </c>
      <c r="P210" s="2">
        <v>45</v>
      </c>
      <c r="Q210" s="4"/>
      <c r="R210" s="2">
        <v>0.338667</v>
      </c>
      <c r="AG210" s="2">
        <v>0.29136699999999999</v>
      </c>
    </row>
    <row r="211" spans="1:39">
      <c r="A211" t="s">
        <v>406</v>
      </c>
      <c r="B211" t="s">
        <v>409</v>
      </c>
      <c r="C211" s="16" t="s">
        <v>61</v>
      </c>
      <c r="D211" t="s">
        <v>70</v>
      </c>
      <c r="E211" s="2" t="s">
        <v>410</v>
      </c>
      <c r="F211">
        <v>185</v>
      </c>
      <c r="G211">
        <v>478543.35</v>
      </c>
      <c r="H211">
        <v>485281.49900000001</v>
      </c>
      <c r="I211">
        <v>2.75E-2</v>
      </c>
      <c r="J211">
        <v>7.4999999999999997E-2</v>
      </c>
      <c r="K211" s="11">
        <v>0.03</v>
      </c>
      <c r="L211">
        <v>44453.665999999997</v>
      </c>
      <c r="M211">
        <v>626</v>
      </c>
      <c r="O211">
        <v>674</v>
      </c>
      <c r="P211">
        <v>71.012</v>
      </c>
      <c r="Q211">
        <v>30.692</v>
      </c>
      <c r="R211">
        <v>0.22597999999999999</v>
      </c>
      <c r="AG211">
        <v>0.18306</v>
      </c>
    </row>
    <row r="212" spans="1:39">
      <c r="A212" s="2" t="s">
        <v>406</v>
      </c>
      <c r="B212" s="2" t="s">
        <v>409</v>
      </c>
      <c r="C212" s="16" t="s">
        <v>64</v>
      </c>
      <c r="D212" s="2" t="s">
        <v>70</v>
      </c>
      <c r="E212" s="2" t="s">
        <v>411</v>
      </c>
      <c r="F212" s="2">
        <v>185</v>
      </c>
      <c r="G212" s="2">
        <v>522115.5</v>
      </c>
      <c r="H212" s="2">
        <v>529123.19999999995</v>
      </c>
      <c r="I212" s="2">
        <v>2.75E-2</v>
      </c>
      <c r="J212" s="2">
        <v>7.2999999999999995E-2</v>
      </c>
      <c r="K212" s="11">
        <v>0.03</v>
      </c>
      <c r="L212" s="2">
        <v>43388.95</v>
      </c>
      <c r="M212" s="2">
        <v>545</v>
      </c>
      <c r="N212" s="2">
        <v>3009</v>
      </c>
      <c r="O212" s="2">
        <v>714</v>
      </c>
      <c r="P212" s="2">
        <v>79.613</v>
      </c>
      <c r="Q212" s="2">
        <v>32.965000000000003</v>
      </c>
      <c r="R212" s="2">
        <v>0.23042000000000001</v>
      </c>
      <c r="AG212">
        <v>0.18212</v>
      </c>
    </row>
    <row r="213" spans="1:39">
      <c r="A213" s="2" t="s">
        <v>406</v>
      </c>
      <c r="B213" s="2" t="s">
        <v>409</v>
      </c>
      <c r="C213" s="15" t="s">
        <v>66</v>
      </c>
      <c r="D213" s="2" t="s">
        <v>70</v>
      </c>
      <c r="E213" s="2" t="s">
        <v>412</v>
      </c>
      <c r="F213" s="2">
        <v>185</v>
      </c>
      <c r="G213" s="2">
        <v>502132.5</v>
      </c>
      <c r="H213" s="2">
        <v>501591.6</v>
      </c>
      <c r="I213" s="2">
        <v>2.75E-2</v>
      </c>
      <c r="J213" s="2">
        <v>7.2999999999999995E-2</v>
      </c>
      <c r="K213" s="11">
        <v>0.03</v>
      </c>
      <c r="L213" s="2">
        <v>42823.16</v>
      </c>
      <c r="M213" s="2">
        <v>577</v>
      </c>
      <c r="N213" s="3">
        <v>2812</v>
      </c>
      <c r="O213" s="2">
        <v>705</v>
      </c>
      <c r="P213" s="2">
        <v>74.216999999999999</v>
      </c>
      <c r="Q213" s="2">
        <v>32.085999999999999</v>
      </c>
      <c r="R213" s="2">
        <v>0.25014999999999998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>
        <v>0.18295</v>
      </c>
      <c r="AH213" s="2"/>
      <c r="AI213" s="2"/>
      <c r="AJ213" s="2"/>
      <c r="AK213" s="2">
        <v>6.5119999999999997E-2</v>
      </c>
      <c r="AL213" s="2">
        <v>1365</v>
      </c>
      <c r="AM213" s="2">
        <v>2</v>
      </c>
    </row>
    <row r="214" spans="1:39">
      <c r="A214" t="s">
        <v>413</v>
      </c>
      <c r="B214" s="2" t="s">
        <v>414</v>
      </c>
      <c r="C214" s="16" t="s">
        <v>61</v>
      </c>
      <c r="D214" t="s">
        <v>75</v>
      </c>
      <c r="E214" t="s">
        <v>415</v>
      </c>
      <c r="F214" s="2">
        <v>59</v>
      </c>
      <c r="G214" s="2">
        <v>21433</v>
      </c>
      <c r="H214" s="2">
        <v>13920</v>
      </c>
      <c r="I214" s="4"/>
      <c r="J214" s="4"/>
      <c r="K214" s="14">
        <v>0.03</v>
      </c>
      <c r="L214" s="2">
        <v>0</v>
      </c>
      <c r="M214" s="2">
        <v>1</v>
      </c>
      <c r="N214" s="4"/>
      <c r="O214" s="4"/>
      <c r="P214" s="4"/>
      <c r="Q214" s="4"/>
      <c r="R214" s="2">
        <v>28.80818</v>
      </c>
      <c r="AG214" s="2">
        <v>0</v>
      </c>
    </row>
    <row r="215" spans="1:39">
      <c r="A215" t="s">
        <v>416</v>
      </c>
      <c r="B215" s="2" t="s">
        <v>417</v>
      </c>
      <c r="C215" s="16" t="s">
        <v>61</v>
      </c>
      <c r="D215" t="s">
        <v>80</v>
      </c>
      <c r="E215" t="s">
        <v>418</v>
      </c>
      <c r="F215" s="2">
        <v>60</v>
      </c>
      <c r="G215" s="2">
        <v>1006339</v>
      </c>
      <c r="H215" s="2">
        <v>788583.3</v>
      </c>
      <c r="I215" s="2">
        <v>0.03</v>
      </c>
      <c r="J215" s="4"/>
      <c r="K215" s="14">
        <v>0.03</v>
      </c>
      <c r="L215" s="2">
        <v>81052.5</v>
      </c>
      <c r="M215" s="2">
        <v>1261</v>
      </c>
      <c r="N215" s="4"/>
      <c r="O215" s="2">
        <v>1920</v>
      </c>
      <c r="P215" s="2">
        <v>39.19</v>
      </c>
      <c r="Q215" s="4"/>
      <c r="R215" s="2">
        <v>0.39860000000000001</v>
      </c>
      <c r="AG215" s="2"/>
    </row>
    <row r="216" spans="1:39">
      <c r="A216" t="s">
        <v>416</v>
      </c>
      <c r="B216" s="2" t="s">
        <v>419</v>
      </c>
      <c r="C216" s="16" t="s">
        <v>61</v>
      </c>
      <c r="D216" t="s">
        <v>75</v>
      </c>
      <c r="E216" t="s">
        <v>420</v>
      </c>
      <c r="F216" s="2" t="s">
        <v>421</v>
      </c>
      <c r="G216" s="2">
        <v>473844.7</v>
      </c>
      <c r="H216" s="2">
        <v>473844.7</v>
      </c>
      <c r="I216" s="2">
        <v>0.03</v>
      </c>
      <c r="J216" s="4"/>
      <c r="K216" s="14">
        <v>0.03</v>
      </c>
      <c r="L216" s="2">
        <v>34509.07</v>
      </c>
      <c r="M216" s="2">
        <v>520</v>
      </c>
      <c r="N216" s="4"/>
      <c r="O216" s="2">
        <v>894</v>
      </c>
      <c r="P216" s="4"/>
      <c r="Q216" s="4"/>
      <c r="R216" s="2">
        <v>0</v>
      </c>
      <c r="AG216" s="2"/>
    </row>
    <row r="217" spans="1:39">
      <c r="A217" s="2" t="s">
        <v>416</v>
      </c>
      <c r="B217" s="2" t="s">
        <v>422</v>
      </c>
      <c r="C217" s="15" t="s">
        <v>66</v>
      </c>
      <c r="D217" s="2" t="s">
        <v>70</v>
      </c>
      <c r="E217" s="2" t="s">
        <v>423</v>
      </c>
      <c r="F217" s="2">
        <v>200</v>
      </c>
      <c r="G217" s="2">
        <v>1015455</v>
      </c>
      <c r="H217" s="2">
        <v>830686</v>
      </c>
      <c r="I217" s="2">
        <v>2.5000000000000001E-2</v>
      </c>
      <c r="J217" s="2">
        <v>7.4999999999999997E-2</v>
      </c>
      <c r="K217" s="11">
        <v>0.03</v>
      </c>
      <c r="L217" s="2">
        <v>228673.6</v>
      </c>
      <c r="M217" s="2">
        <v>5144</v>
      </c>
      <c r="N217" s="3">
        <v>2561</v>
      </c>
      <c r="O217" s="2">
        <v>4782</v>
      </c>
      <c r="P217" s="2">
        <v>44.454000000000001</v>
      </c>
      <c r="Q217" s="2">
        <v>12.512</v>
      </c>
      <c r="R217" s="2">
        <v>0.13189999999999999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>
        <v>5.8500000000000003E-2</v>
      </c>
      <c r="AH217" s="2"/>
      <c r="AI217" s="2"/>
      <c r="AJ217" s="2"/>
      <c r="AK217" s="2">
        <v>6.4999999999999997E-4</v>
      </c>
      <c r="AL217" s="2">
        <v>12487</v>
      </c>
      <c r="AM217" s="2">
        <v>2</v>
      </c>
    </row>
    <row r="218" spans="1:39">
      <c r="A218" s="2" t="s">
        <v>416</v>
      </c>
      <c r="B218" t="s">
        <v>422</v>
      </c>
      <c r="C218" s="16" t="s">
        <v>61</v>
      </c>
      <c r="D218" t="s">
        <v>70</v>
      </c>
      <c r="E218" s="2" t="s">
        <v>424</v>
      </c>
      <c r="F218">
        <v>200</v>
      </c>
      <c r="G218">
        <v>996543.28200000001</v>
      </c>
      <c r="H218">
        <v>831005.30200000003</v>
      </c>
      <c r="I218">
        <v>2.5000000000000001E-2</v>
      </c>
      <c r="J218">
        <v>7.4999999999999997E-2</v>
      </c>
      <c r="K218" s="14">
        <v>0.03</v>
      </c>
      <c r="L218">
        <v>228447.481</v>
      </c>
      <c r="M218">
        <v>5202</v>
      </c>
      <c r="O218">
        <v>4678</v>
      </c>
      <c r="P218">
        <v>43.914999999999999</v>
      </c>
      <c r="Q218">
        <v>12.189</v>
      </c>
      <c r="R218">
        <v>0.1226</v>
      </c>
      <c r="AG218">
        <v>5.8000000000000003E-2</v>
      </c>
    </row>
    <row r="219" spans="1:39">
      <c r="A219" s="2" t="s">
        <v>416</v>
      </c>
      <c r="B219" s="2" t="s">
        <v>422</v>
      </c>
      <c r="C219" s="16" t="s">
        <v>64</v>
      </c>
      <c r="D219" s="2" t="s">
        <v>70</v>
      </c>
      <c r="E219" s="2" t="s">
        <v>425</v>
      </c>
      <c r="F219" s="2">
        <v>200</v>
      </c>
      <c r="G219" s="2">
        <v>1084125</v>
      </c>
      <c r="H219" s="2">
        <v>841450.4</v>
      </c>
      <c r="I219" s="2">
        <v>2.5000000000000001E-2</v>
      </c>
      <c r="J219" s="2">
        <v>7.2499999999999995E-2</v>
      </c>
      <c r="K219" s="11">
        <v>0.03</v>
      </c>
      <c r="L219" s="2">
        <v>228162.8</v>
      </c>
      <c r="M219" s="2">
        <v>4984</v>
      </c>
      <c r="N219" s="2">
        <v>85</v>
      </c>
      <c r="O219" s="2">
        <v>4890</v>
      </c>
      <c r="P219" s="2">
        <v>45.779000000000003</v>
      </c>
      <c r="Q219" s="2">
        <v>12.803000000000001</v>
      </c>
      <c r="R219" s="2">
        <v>0.1542</v>
      </c>
      <c r="AG219">
        <v>5.5899999999999998E-2</v>
      </c>
    </row>
    <row r="220" spans="1:39">
      <c r="A220" t="s">
        <v>416</v>
      </c>
      <c r="B220" t="s">
        <v>426</v>
      </c>
      <c r="C220" s="16" t="s">
        <v>61</v>
      </c>
      <c r="D220" t="s">
        <v>154</v>
      </c>
      <c r="E220" s="2" t="s">
        <v>427</v>
      </c>
      <c r="F220">
        <v>102</v>
      </c>
      <c r="G220">
        <v>1238153.321</v>
      </c>
      <c r="H220">
        <v>886156.01100000006</v>
      </c>
      <c r="I220">
        <v>2.75E-2</v>
      </c>
      <c r="J220">
        <v>4.7800000000000002E-2</v>
      </c>
      <c r="K220" s="14">
        <v>0.03</v>
      </c>
      <c r="L220">
        <v>263772.38</v>
      </c>
      <c r="M220">
        <v>5050</v>
      </c>
      <c r="O220">
        <v>4500</v>
      </c>
      <c r="P220">
        <v>52.323</v>
      </c>
      <c r="Q220">
        <v>23.556000000000001</v>
      </c>
      <c r="R220">
        <v>0.18740000000000001</v>
      </c>
    </row>
    <row r="221" spans="1:39">
      <c r="A221" s="2" t="s">
        <v>416</v>
      </c>
      <c r="B221" s="2" t="s">
        <v>426</v>
      </c>
      <c r="C221" s="16" t="s">
        <v>64</v>
      </c>
      <c r="D221" s="2" t="s">
        <v>154</v>
      </c>
      <c r="E221" s="2" t="s">
        <v>428</v>
      </c>
      <c r="F221" s="2">
        <v>102</v>
      </c>
      <c r="G221" s="2">
        <v>1221293</v>
      </c>
      <c r="H221" s="2">
        <v>894772.2</v>
      </c>
      <c r="I221" s="2">
        <v>2.75E-2</v>
      </c>
      <c r="J221" s="2">
        <v>7.4999999999999997E-2</v>
      </c>
      <c r="K221" s="11">
        <v>0.03</v>
      </c>
      <c r="L221" s="2">
        <v>264676.8</v>
      </c>
      <c r="M221" s="2">
        <v>4984</v>
      </c>
      <c r="N221" s="2">
        <v>2561</v>
      </c>
      <c r="O221" s="2">
        <v>4386</v>
      </c>
      <c r="P221" s="2">
        <v>53.104999999999997</v>
      </c>
      <c r="Q221" s="2">
        <v>24.06</v>
      </c>
      <c r="R221" s="2">
        <v>0.17100000000000001</v>
      </c>
    </row>
    <row r="222" spans="1:39">
      <c r="A222" s="2" t="s">
        <v>416</v>
      </c>
      <c r="B222" s="2" t="s">
        <v>426</v>
      </c>
      <c r="C222" s="15" t="s">
        <v>66</v>
      </c>
      <c r="D222" s="2" t="s">
        <v>154</v>
      </c>
      <c r="E222" s="2" t="s">
        <v>429</v>
      </c>
      <c r="F222" s="2">
        <v>102</v>
      </c>
      <c r="G222" s="2">
        <v>1241617</v>
      </c>
      <c r="H222" s="2">
        <v>888759.2</v>
      </c>
      <c r="I222" s="2">
        <v>2.75E-2</v>
      </c>
      <c r="J222" s="2">
        <v>7.4999999999999997E-2</v>
      </c>
      <c r="K222" s="11">
        <v>0.03</v>
      </c>
      <c r="L222" s="2">
        <v>272973.40000000002</v>
      </c>
      <c r="M222" s="2">
        <v>5108</v>
      </c>
      <c r="N222" s="3">
        <v>83</v>
      </c>
      <c r="O222" s="2">
        <v>4477</v>
      </c>
      <c r="P222" s="2">
        <v>53.44</v>
      </c>
      <c r="Q222" s="2">
        <v>23.736000000000001</v>
      </c>
      <c r="R222" s="2">
        <v>0.18179999999999999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H222" s="2"/>
      <c r="AI222" s="2"/>
      <c r="AJ222" s="2"/>
      <c r="AK222" s="2">
        <v>5.5E-2</v>
      </c>
      <c r="AL222" s="2">
        <v>10232</v>
      </c>
      <c r="AM222" s="2">
        <v>5</v>
      </c>
    </row>
    <row r="223" spans="1:39">
      <c r="A223" t="s">
        <v>430</v>
      </c>
      <c r="B223" t="s">
        <v>431</v>
      </c>
      <c r="C223" s="16" t="s">
        <v>61</v>
      </c>
      <c r="D223" t="s">
        <v>154</v>
      </c>
      <c r="E223" s="2" t="s">
        <v>427</v>
      </c>
      <c r="F223">
        <v>103</v>
      </c>
      <c r="G223">
        <v>1676193</v>
      </c>
      <c r="H223">
        <v>1067675</v>
      </c>
      <c r="I223">
        <v>2.5000000000000001E-2</v>
      </c>
      <c r="J223">
        <v>0.08</v>
      </c>
      <c r="K223" s="14">
        <v>0.03</v>
      </c>
      <c r="L223">
        <v>263122</v>
      </c>
      <c r="M223">
        <v>3445</v>
      </c>
      <c r="O223">
        <v>4046</v>
      </c>
      <c r="P223">
        <v>77.703999999999994</v>
      </c>
      <c r="Q223">
        <v>28.497</v>
      </c>
      <c r="R223">
        <v>0.1673</v>
      </c>
      <c r="AG223">
        <v>8.2600000000000007E-2</v>
      </c>
    </row>
    <row r="224" spans="1:39">
      <c r="A224" s="2" t="s">
        <v>430</v>
      </c>
      <c r="B224" s="2" t="s">
        <v>431</v>
      </c>
      <c r="C224" s="16" t="s">
        <v>64</v>
      </c>
      <c r="D224" s="2" t="s">
        <v>154</v>
      </c>
      <c r="E224" s="2" t="s">
        <v>432</v>
      </c>
      <c r="F224" s="2">
        <v>103</v>
      </c>
      <c r="G224" s="2">
        <v>1691236</v>
      </c>
      <c r="H224" s="2">
        <v>1090243</v>
      </c>
      <c r="I224" s="2">
        <v>2.5000000000000001E-2</v>
      </c>
      <c r="J224" s="2">
        <v>7.4999999999999997E-2</v>
      </c>
      <c r="K224" s="11">
        <v>0.03</v>
      </c>
      <c r="L224" s="2">
        <v>274667</v>
      </c>
      <c r="M224" s="2">
        <v>3353</v>
      </c>
      <c r="N224" s="2">
        <v>3560</v>
      </c>
      <c r="O224" s="2">
        <v>4194</v>
      </c>
      <c r="P224" s="2">
        <v>82.247</v>
      </c>
      <c r="Q224" s="2">
        <v>27.97</v>
      </c>
      <c r="R224" s="2">
        <v>0.17660000000000001</v>
      </c>
      <c r="AG224">
        <v>8.2699999999999996E-2</v>
      </c>
    </row>
    <row r="225" spans="1:39">
      <c r="A225" s="2" t="s">
        <v>430</v>
      </c>
      <c r="B225" s="2" t="s">
        <v>431</v>
      </c>
      <c r="C225" s="15" t="s">
        <v>66</v>
      </c>
      <c r="D225" s="2" t="s">
        <v>154</v>
      </c>
      <c r="E225" s="2" t="s">
        <v>433</v>
      </c>
      <c r="F225" s="2">
        <v>103</v>
      </c>
      <c r="G225" s="2">
        <v>1691721</v>
      </c>
      <c r="H225" s="2">
        <v>1079552</v>
      </c>
      <c r="I225" s="2">
        <v>2.5000000000000001E-2</v>
      </c>
      <c r="J225" s="2">
        <v>7.4999999999999997E-2</v>
      </c>
      <c r="K225" s="11">
        <v>0.03</v>
      </c>
      <c r="L225" s="2">
        <v>268614</v>
      </c>
      <c r="M225" s="2">
        <v>3347</v>
      </c>
      <c r="N225" s="3">
        <v>3274</v>
      </c>
      <c r="O225" s="2">
        <v>4124</v>
      </c>
      <c r="P225" s="2">
        <v>79.893000000000001</v>
      </c>
      <c r="Q225" s="2">
        <v>28.22</v>
      </c>
      <c r="R225" s="2">
        <v>0.1759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>
        <v>8.2400000000000001E-2</v>
      </c>
      <c r="AH225" s="2"/>
      <c r="AI225" s="2"/>
      <c r="AJ225" s="2"/>
      <c r="AK225" s="2">
        <v>7.4999999999999997E-2</v>
      </c>
      <c r="AL225" s="2">
        <v>9960</v>
      </c>
      <c r="AM225" s="2">
        <v>5</v>
      </c>
    </row>
    <row r="226" spans="1:39">
      <c r="A226" t="s">
        <v>434</v>
      </c>
      <c r="B226" s="2" t="s">
        <v>435</v>
      </c>
      <c r="C226" s="16" t="s">
        <v>61</v>
      </c>
      <c r="D226" t="s">
        <v>62</v>
      </c>
      <c r="E226" t="s">
        <v>436</v>
      </c>
      <c r="F226" s="2">
        <v>61</v>
      </c>
      <c r="G226" s="2">
        <v>1318531</v>
      </c>
      <c r="H226" s="2">
        <v>1266175</v>
      </c>
      <c r="I226" s="2">
        <v>0.03</v>
      </c>
      <c r="J226" s="4"/>
      <c r="K226" s="4"/>
      <c r="L226" s="2">
        <v>122597.3</v>
      </c>
      <c r="M226" s="2">
        <v>1410</v>
      </c>
      <c r="N226" s="2">
        <v>15</v>
      </c>
      <c r="O226" s="2">
        <v>1965</v>
      </c>
      <c r="P226" s="2">
        <v>38.200000000000003</v>
      </c>
      <c r="Q226" s="4"/>
      <c r="R226" s="2">
        <v>0.186</v>
      </c>
      <c r="AG226" s="2">
        <v>0.27060000000000001</v>
      </c>
    </row>
    <row r="227" spans="1:39">
      <c r="A227" t="s">
        <v>437</v>
      </c>
      <c r="B227" t="s">
        <v>438</v>
      </c>
      <c r="C227" s="16" t="s">
        <v>61</v>
      </c>
      <c r="D227" t="s">
        <v>70</v>
      </c>
      <c r="E227" s="2" t="s">
        <v>439</v>
      </c>
      <c r="F227">
        <v>176</v>
      </c>
      <c r="G227">
        <v>1053987</v>
      </c>
      <c r="H227">
        <v>803439</v>
      </c>
      <c r="I227">
        <v>0.03</v>
      </c>
      <c r="J227">
        <v>7.2499999999999995E-2</v>
      </c>
      <c r="K227" s="14">
        <v>0.03</v>
      </c>
      <c r="L227">
        <v>118152</v>
      </c>
      <c r="M227">
        <v>2455</v>
      </c>
      <c r="O227">
        <v>3031</v>
      </c>
      <c r="P227">
        <v>48.127000000000002</v>
      </c>
      <c r="Q227">
        <v>24.192</v>
      </c>
      <c r="R227">
        <v>0.21990000000000001</v>
      </c>
      <c r="AG227">
        <v>0.10970000000000001</v>
      </c>
    </row>
    <row r="228" spans="1:39">
      <c r="A228" s="2" t="s">
        <v>437</v>
      </c>
      <c r="B228" s="2" t="s">
        <v>438</v>
      </c>
      <c r="C228" s="16" t="s">
        <v>64</v>
      </c>
      <c r="D228" s="2" t="s">
        <v>70</v>
      </c>
      <c r="E228" s="2" t="s">
        <v>440</v>
      </c>
      <c r="F228" s="2">
        <v>176</v>
      </c>
      <c r="G228" s="2">
        <v>1148930</v>
      </c>
      <c r="H228" s="2">
        <v>842425</v>
      </c>
      <c r="I228" s="2">
        <v>2.5000000000000001E-2</v>
      </c>
      <c r="J228" s="2">
        <v>7.0000000000000007E-2</v>
      </c>
      <c r="K228" s="11">
        <v>0.03</v>
      </c>
      <c r="L228" s="2">
        <v>127378</v>
      </c>
      <c r="M228" s="2">
        <v>2482</v>
      </c>
      <c r="N228" s="2">
        <v>5325</v>
      </c>
      <c r="O228" s="2">
        <v>3145</v>
      </c>
      <c r="P228" s="2">
        <v>51.320999999999998</v>
      </c>
      <c r="Q228" s="2">
        <v>24.523</v>
      </c>
      <c r="R228" s="2">
        <v>0.2412</v>
      </c>
      <c r="AG228">
        <v>0.11749999999999999</v>
      </c>
    </row>
    <row r="229" spans="1:39">
      <c r="A229" s="2" t="s">
        <v>437</v>
      </c>
      <c r="B229" s="2" t="s">
        <v>438</v>
      </c>
      <c r="C229" s="15" t="s">
        <v>66</v>
      </c>
      <c r="D229" s="2" t="s">
        <v>70</v>
      </c>
      <c r="E229" s="2" t="s">
        <v>441</v>
      </c>
      <c r="F229" s="2">
        <v>176</v>
      </c>
      <c r="G229" s="2">
        <v>1129492</v>
      </c>
      <c r="H229" s="2">
        <v>822835</v>
      </c>
      <c r="I229" s="2">
        <v>2.5000000000000001E-2</v>
      </c>
      <c r="J229" s="2">
        <v>7.0000000000000007E-2</v>
      </c>
      <c r="K229" s="11">
        <v>0.03</v>
      </c>
      <c r="L229" s="2">
        <v>123823</v>
      </c>
      <c r="M229" s="2">
        <v>2508</v>
      </c>
      <c r="N229" s="3">
        <v>5231</v>
      </c>
      <c r="O229" s="2">
        <v>3101</v>
      </c>
      <c r="P229" s="2">
        <v>49.371000000000002</v>
      </c>
      <c r="Q229" s="2">
        <v>24.36</v>
      </c>
      <c r="R229" s="2">
        <v>0.2472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>
        <v>0.1183</v>
      </c>
      <c r="AH229" s="2"/>
      <c r="AI229" s="2"/>
      <c r="AJ229" s="2"/>
      <c r="AK229" s="2">
        <v>5.3400000000000003E-2</v>
      </c>
      <c r="AL229" s="2">
        <v>5937</v>
      </c>
      <c r="AM229" s="2">
        <v>2</v>
      </c>
    </row>
    <row r="230" spans="1:39">
      <c r="A230" s="2" t="s">
        <v>442</v>
      </c>
      <c r="B230" t="s">
        <v>443</v>
      </c>
      <c r="C230" s="16" t="s">
        <v>61</v>
      </c>
      <c r="D230" t="s">
        <v>70</v>
      </c>
      <c r="E230" s="2" t="s">
        <v>444</v>
      </c>
      <c r="F230">
        <v>179</v>
      </c>
      <c r="G230">
        <v>658709</v>
      </c>
      <c r="H230">
        <v>598779</v>
      </c>
      <c r="I230">
        <v>2.75E-2</v>
      </c>
      <c r="J230">
        <v>7.4999999999999997E-2</v>
      </c>
      <c r="K230" s="14">
        <v>0.03</v>
      </c>
      <c r="L230">
        <v>78899</v>
      </c>
      <c r="M230">
        <v>1449</v>
      </c>
      <c r="O230">
        <v>1421</v>
      </c>
      <c r="P230">
        <v>50.482999999999997</v>
      </c>
      <c r="Q230">
        <v>27.512</v>
      </c>
      <c r="R230">
        <v>0.13700000000000001</v>
      </c>
      <c r="AG230">
        <v>0.13</v>
      </c>
    </row>
    <row r="231" spans="1:39">
      <c r="A231" s="2" t="s">
        <v>442</v>
      </c>
      <c r="B231" s="2" t="s">
        <v>443</v>
      </c>
      <c r="C231" s="16" t="s">
        <v>64</v>
      </c>
      <c r="D231" s="2" t="s">
        <v>70</v>
      </c>
      <c r="E231" s="2" t="s">
        <v>445</v>
      </c>
      <c r="F231" s="2">
        <v>179</v>
      </c>
      <c r="G231" s="2">
        <v>686221.1</v>
      </c>
      <c r="H231" s="2">
        <v>636877</v>
      </c>
      <c r="I231" s="2">
        <v>2.75E-2</v>
      </c>
      <c r="J231" s="2">
        <v>7.5899999999999995E-2</v>
      </c>
      <c r="K231" s="11">
        <v>0.03</v>
      </c>
      <c r="L231" s="2">
        <v>80365.63</v>
      </c>
      <c r="M231" s="2">
        <v>1347</v>
      </c>
      <c r="N231" s="2">
        <v>516</v>
      </c>
      <c r="O231" s="2">
        <v>1459</v>
      </c>
      <c r="P231" s="2">
        <v>52.191000000000003</v>
      </c>
      <c r="Q231" s="2">
        <v>28.884</v>
      </c>
      <c r="R231" s="2">
        <v>0.13700000000000001</v>
      </c>
      <c r="AG231">
        <v>0.13</v>
      </c>
    </row>
    <row r="232" spans="1:39">
      <c r="A232" s="2" t="s">
        <v>442</v>
      </c>
      <c r="B232" s="2" t="s">
        <v>443</v>
      </c>
      <c r="C232" s="15" t="s">
        <v>66</v>
      </c>
      <c r="D232" s="2" t="s">
        <v>70</v>
      </c>
      <c r="E232" s="2" t="s">
        <v>446</v>
      </c>
      <c r="F232" s="2">
        <v>179</v>
      </c>
      <c r="G232" s="2">
        <v>675257.1</v>
      </c>
      <c r="H232" s="2">
        <v>613063.1</v>
      </c>
      <c r="I232" s="2">
        <v>2.75E-2</v>
      </c>
      <c r="J232" s="2">
        <v>7.5999999999999998E-2</v>
      </c>
      <c r="K232" s="11">
        <v>0.03</v>
      </c>
      <c r="L232" s="2">
        <v>80029.36</v>
      </c>
      <c r="M232" s="2">
        <v>1441</v>
      </c>
      <c r="N232" s="3">
        <v>479</v>
      </c>
      <c r="O232" s="2">
        <v>1430</v>
      </c>
      <c r="P232" s="2">
        <v>51.063000000000002</v>
      </c>
      <c r="Q232" s="2">
        <v>28.324000000000002</v>
      </c>
      <c r="R232" s="2">
        <v>0.13900000000000001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>
        <v>0.13</v>
      </c>
      <c r="AH232" s="2"/>
      <c r="AI232" s="2"/>
      <c r="AJ232" s="2"/>
      <c r="AK232" s="2">
        <v>4.7E-2</v>
      </c>
      <c r="AL232" s="2">
        <v>3011</v>
      </c>
      <c r="AM232" s="2">
        <v>2</v>
      </c>
    </row>
    <row r="233" spans="1:39" ht="17.25" customHeight="1">
      <c r="A233" s="2" t="s">
        <v>442</v>
      </c>
      <c r="B233" s="2" t="s">
        <v>447</v>
      </c>
      <c r="C233" s="15" t="s">
        <v>66</v>
      </c>
      <c r="D233" s="2" t="s">
        <v>62</v>
      </c>
      <c r="E233" s="2" t="s">
        <v>448</v>
      </c>
      <c r="F233" s="2">
        <v>209</v>
      </c>
      <c r="G233" s="2">
        <v>788446.6</v>
      </c>
      <c r="H233" s="2">
        <v>722197.4</v>
      </c>
      <c r="I233" s="2">
        <v>2.75E-2</v>
      </c>
      <c r="J233" s="2">
        <v>7.5999999999999998E-2</v>
      </c>
      <c r="K233" s="11">
        <v>0.03</v>
      </c>
      <c r="L233" s="2">
        <v>73891.09</v>
      </c>
      <c r="M233" s="2">
        <v>1094</v>
      </c>
      <c r="N233" s="3">
        <v>178</v>
      </c>
      <c r="O233" s="2">
        <v>1044</v>
      </c>
      <c r="P233" s="2">
        <v>67.542000000000002</v>
      </c>
      <c r="Q233" s="2">
        <v>35.868000000000002</v>
      </c>
      <c r="R233" s="2">
        <v>0.22600000000000001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>
        <v>0.23200000000000001</v>
      </c>
      <c r="AH233" s="2"/>
      <c r="AI233" s="2"/>
      <c r="AJ233" s="2"/>
      <c r="AK233" s="2">
        <v>7.0000000000000007E-2</v>
      </c>
      <c r="AL233" s="2">
        <v>2176</v>
      </c>
      <c r="AM233" s="2">
        <v>2</v>
      </c>
    </row>
    <row r="234" spans="1:39">
      <c r="A234" s="2" t="s">
        <v>442</v>
      </c>
      <c r="B234" t="s">
        <v>447</v>
      </c>
      <c r="C234" s="16" t="s">
        <v>61</v>
      </c>
      <c r="D234" s="2" t="s">
        <v>62</v>
      </c>
      <c r="E234" s="2" t="s">
        <v>449</v>
      </c>
      <c r="F234">
        <v>209</v>
      </c>
      <c r="G234">
        <v>762085</v>
      </c>
      <c r="H234">
        <v>690969</v>
      </c>
      <c r="I234">
        <v>2.75E-2</v>
      </c>
      <c r="J234">
        <v>7.3099999999999998E-2</v>
      </c>
      <c r="K234" s="14">
        <v>0.03</v>
      </c>
      <c r="L234">
        <v>72017</v>
      </c>
      <c r="M234">
        <v>1067</v>
      </c>
      <c r="N234" s="2">
        <v>39</v>
      </c>
      <c r="O234">
        <v>1015</v>
      </c>
      <c r="P234">
        <v>67.495000000000005</v>
      </c>
      <c r="Q234">
        <v>34.863999999999997</v>
      </c>
      <c r="R234">
        <v>0.219</v>
      </c>
      <c r="AG234">
        <v>0.217</v>
      </c>
    </row>
    <row r="235" spans="1:39">
      <c r="A235" s="2" t="s">
        <v>442</v>
      </c>
      <c r="B235" s="2" t="s">
        <v>447</v>
      </c>
      <c r="C235" s="16" t="s">
        <v>64</v>
      </c>
      <c r="D235" s="2" t="s">
        <v>62</v>
      </c>
      <c r="E235" s="2" t="s">
        <v>450</v>
      </c>
      <c r="F235" s="2">
        <v>209</v>
      </c>
      <c r="G235" s="2">
        <v>813745.9</v>
      </c>
      <c r="H235" s="2">
        <v>766121.9</v>
      </c>
      <c r="I235" s="2">
        <v>2.75E-2</v>
      </c>
      <c r="J235" s="11">
        <v>7.0000000000000007E-2</v>
      </c>
      <c r="K235" s="11">
        <v>0.03</v>
      </c>
      <c r="L235" s="2">
        <v>75880.11</v>
      </c>
      <c r="M235" s="2">
        <v>1116</v>
      </c>
      <c r="N235" s="2">
        <v>2552</v>
      </c>
      <c r="O235" s="2">
        <v>1060</v>
      </c>
      <c r="P235" s="2">
        <v>67.992999999999995</v>
      </c>
      <c r="Q235" s="2">
        <v>37.198</v>
      </c>
      <c r="R235" s="2">
        <v>0.20899999999999999</v>
      </c>
      <c r="AG235">
        <v>0.23400000000000001</v>
      </c>
    </row>
    <row r="236" spans="1:39">
      <c r="A236" t="s">
        <v>451</v>
      </c>
      <c r="B236" s="2" t="s">
        <v>452</v>
      </c>
      <c r="C236" s="16" t="s">
        <v>61</v>
      </c>
      <c r="D236" t="s">
        <v>80</v>
      </c>
      <c r="E236" t="s">
        <v>453</v>
      </c>
      <c r="F236" s="2">
        <v>66</v>
      </c>
      <c r="G236" s="2">
        <v>145184.20000000001</v>
      </c>
      <c r="H236" s="2">
        <v>78196.710000000006</v>
      </c>
      <c r="I236" s="4"/>
      <c r="J236" s="4"/>
      <c r="K236" s="4"/>
      <c r="L236" s="2">
        <v>3189.9009999999998</v>
      </c>
      <c r="M236" s="2">
        <v>41</v>
      </c>
      <c r="N236" s="2">
        <v>0</v>
      </c>
      <c r="O236" s="2">
        <v>479</v>
      </c>
      <c r="P236" s="4"/>
      <c r="Q236" s="4"/>
      <c r="R236" s="4"/>
      <c r="AG236" s="2"/>
    </row>
  </sheetData>
  <autoFilter ref="A1:AM236" xr:uid="{E355E07D-3C7D-44B7-9395-F631F6FEA230}">
    <filterColumn colId="5">
      <filters>
        <filter val="102"/>
        <filter val="103"/>
        <filter val="11"/>
        <filter val="12"/>
        <filter val="139"/>
        <filter val="140"/>
        <filter val="141"/>
        <filter val="144"/>
        <filter val="145"/>
        <filter val="146"/>
        <filter val="148"/>
        <filter val="149"/>
        <filter val="150"/>
        <filter val="151"/>
        <filter val="152"/>
        <filter val="153"/>
        <filter val="154"/>
        <filter val="155"/>
        <filter val="156"/>
        <filter val="158"/>
        <filter val="159"/>
        <filter val="160"/>
        <filter val="161"/>
        <filter val="162"/>
        <filter val="163"/>
        <filter val="165"/>
        <filter val="169"/>
        <filter val="170"/>
        <filter val="171"/>
        <filter val="172"/>
        <filter val="173"/>
        <filter val="175"/>
        <filter val="176"/>
        <filter val="178"/>
        <filter val="179"/>
        <filter val="180"/>
        <filter val="182"/>
        <filter val="183"/>
        <filter val="184"/>
        <filter val="185"/>
        <filter val="187"/>
        <filter val="188"/>
        <filter val="189"/>
        <filter val="19"/>
        <filter val="190"/>
        <filter val="192"/>
        <filter val="193"/>
        <filter val="194"/>
        <filter val="196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1"/>
        <filter val="212"/>
        <filter val="213"/>
        <filter val="22"/>
        <filter val="23"/>
        <filter val="24"/>
        <filter val="30"/>
        <filter val="55"/>
        <filter val="76"/>
        <filter val="77"/>
        <filter val="94"/>
        <filter val="98"/>
      </filters>
    </filterColumn>
    <sortState xmlns:xlrd2="http://schemas.microsoft.com/office/spreadsheetml/2017/richdata2" ref="A2:AM236">
      <sortCondition ref="A1:A236"/>
    </sortState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42d96-50ee-4759-abeb-2e5d6ee85cfc">
      <Terms xmlns="http://schemas.microsoft.com/office/infopath/2007/PartnerControls"/>
    </lcf76f155ced4ddcb4097134ff3c332f>
    <TaxCatchAll xmlns="45779287-706c-4b9a-b5f1-0341e017a4da" xsi:nil="true"/>
    <ModifiedTime xmlns="24b42d96-50ee-4759-abeb-2e5d6ee85c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61E80EAE4E74DB3D60368050CD89D" ma:contentTypeVersion="19" ma:contentTypeDescription="Create a new document." ma:contentTypeScope="" ma:versionID="e26b3d9379f42a9935d3a502b96bdafd">
  <xsd:schema xmlns:xsd="http://www.w3.org/2001/XMLSchema" xmlns:xs="http://www.w3.org/2001/XMLSchema" xmlns:p="http://schemas.microsoft.com/office/2006/metadata/properties" xmlns:ns2="24b42d96-50ee-4759-abeb-2e5d6ee85cfc" xmlns:ns3="45779287-706c-4b9a-b5f1-0341e017a4da" targetNamespace="http://schemas.microsoft.com/office/2006/metadata/properties" ma:root="true" ma:fieldsID="d0cdcef86a00d891bef714b99d7671bb" ns2:_="" ns3:_="">
    <xsd:import namespace="24b42d96-50ee-4759-abeb-2e5d6ee85cfc"/>
    <xsd:import namespace="45779287-706c-4b9a-b5f1-0341e017a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odifie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42d96-50ee-4759-abeb-2e5d6ee85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ifiedTime" ma:index="26" nillable="true" ma:displayName="Modified Time" ma:format="DateTime" ma:internalName="Modifie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79287-706c-4b9a-b5f1-0341e017a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3a12389-6ccb-4fe9-a0e7-3ab8f098f920}" ma:internalName="TaxCatchAll" ma:showField="CatchAllData" ma:web="45779287-706c-4b9a-b5f1-0341e017a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F376F-B19C-4D8A-9CBF-26FC7DB31ED0}"/>
</file>

<file path=customXml/itemProps2.xml><?xml version="1.0" encoding="utf-8"?>
<ds:datastoreItem xmlns:ds="http://schemas.openxmlformats.org/officeDocument/2006/customXml" ds:itemID="{2F46F2E2-7A31-414D-9A4F-2307D5E7E41C}"/>
</file>

<file path=customXml/itemProps3.xml><?xml version="1.0" encoding="utf-8"?>
<ds:datastoreItem xmlns:ds="http://schemas.openxmlformats.org/officeDocument/2006/customXml" ds:itemID="{C6912352-9E6D-45E4-8F9F-FEE5EB963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Gant</dc:creator>
  <cp:keywords/>
  <dc:description/>
  <cp:lastModifiedBy>Alex Gant</cp:lastModifiedBy>
  <cp:revision/>
  <dcterms:created xsi:type="dcterms:W3CDTF">2021-09-24T19:53:15Z</dcterms:created>
  <dcterms:modified xsi:type="dcterms:W3CDTF">2022-05-10T19:41:21Z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0x01010072961E80EAE4E74DB3D60368050CD89D</vt:lpwstr>
  </property>
</Properties>
</file>